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N:\Grants\GRANTS 2025\Round 2\"/>
    </mc:Choice>
  </mc:AlternateContent>
  <xr:revisionPtr revIDLastSave="0" documentId="13_ncr:1_{193788D9-3CE2-4CD1-A414-D89CAB8E93FF}" xr6:coauthVersionLast="47" xr6:coauthVersionMax="47" xr10:uidLastSave="{00000000-0000-0000-0000-000000000000}"/>
  <bookViews>
    <workbookView xWindow="-120" yWindow="-120" windowWidth="29040" windowHeight="15720" xr2:uid="{D91F3654-BB4C-4C4B-8970-717EA83FEB1F}"/>
  </bookViews>
  <sheets>
    <sheet name="Detail1" sheetId="24" r:id="rId1"/>
    <sheet name="ACNUSA Project Request" sheetId="1" r:id="rId2"/>
    <sheet name="Construction" sheetId="19" r:id="rId3"/>
    <sheet name="Transportation" sheetId="21" r:id="rId4"/>
    <sheet name="Subsistance" sheetId="22" r:id="rId5"/>
    <sheet name="Pastoral" sheetId="23" r:id="rId6"/>
    <sheet name="Humanitarian" sheetId="20" r:id="rId7"/>
    <sheet name="Project Presentation Template" sheetId="15" r:id="rId8"/>
    <sheet name="Proposal Königstein - Projects" sheetId="17" r:id="rId9"/>
    <sheet name="Proposal Königstein - Masses" sheetId="18" r:id="rId10"/>
  </sheets>
  <definedNames>
    <definedName name="_xlnm._FilterDatabase" localSheetId="9" hidden="1">'Proposal Königstein - Masses'!$A$1:$I$38</definedName>
    <definedName name="_xlnm._FilterDatabase" localSheetId="8" hidden="1">'Proposal Königstein - Projects'!$A$1:$H$66</definedName>
    <definedName name="_xlnm.Print_Area" localSheetId="7">'Project Presentation Template'!$A$1:$G$114</definedName>
    <definedName name="_xlnm.Print_Titles" localSheetId="7">'Project Presentation Template'!#REF!</definedName>
  </definedNames>
  <calcPr calcId="191029"/>
  <pivotCaches>
    <pivotCache cacheId="194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E23" i="1"/>
  <c r="G64" i="17"/>
  <c r="G63" i="17"/>
  <c r="H13" i="17"/>
  <c r="H17" i="17"/>
  <c r="G53" i="17"/>
  <c r="G30" i="17"/>
  <c r="G10" i="17"/>
  <c r="G4" i="17"/>
  <c r="G28" i="17"/>
  <c r="G48" i="17"/>
  <c r="G8" i="17"/>
  <c r="G2" i="17"/>
  <c r="G37" i="17"/>
  <c r="G62" i="17"/>
  <c r="G55" i="17"/>
  <c r="G52" i="17"/>
  <c r="G59" i="17"/>
  <c r="G56" i="17"/>
  <c r="G60" i="17"/>
  <c r="G50" i="17"/>
  <c r="G51" i="17"/>
  <c r="G61" i="17"/>
  <c r="G27" i="17"/>
  <c r="G22" i="17"/>
  <c r="G9" i="17"/>
  <c r="G49" i="17"/>
  <c r="G38" i="17"/>
  <c r="G14" i="17"/>
  <c r="G40" i="17"/>
  <c r="G54" i="17"/>
  <c r="G58" i="17"/>
  <c r="G39" i="17"/>
  <c r="G23" i="17"/>
  <c r="G3" i="17"/>
  <c r="G32" i="17"/>
  <c r="G41" i="17"/>
  <c r="G34" i="17"/>
  <c r="G35" i="17"/>
  <c r="G42" i="17"/>
  <c r="G18" i="17"/>
  <c r="G7" i="17"/>
  <c r="G33" i="17"/>
  <c r="G29" i="17"/>
  <c r="G45" i="17"/>
  <c r="G46" i="17"/>
  <c r="G26" i="17"/>
  <c r="G19" i="17"/>
  <c r="G12" i="17"/>
  <c r="G25" i="17"/>
  <c r="G31" i="17"/>
  <c r="G15" i="17"/>
  <c r="G11" i="17"/>
  <c r="G24" i="17"/>
  <c r="G6" i="17"/>
  <c r="G5" i="17"/>
  <c r="M6" i="18"/>
  <c r="O5" i="18"/>
  <c r="O4" i="18"/>
  <c r="O3" i="18"/>
  <c r="O2" i="18"/>
  <c r="G25" i="18"/>
  <c r="H25" i="18" s="1"/>
  <c r="G32" i="18"/>
  <c r="H32" i="18" s="1"/>
  <c r="G37" i="18"/>
  <c r="H37" i="18" s="1"/>
  <c r="G24" i="18"/>
  <c r="H24" i="18" s="1"/>
  <c r="G23" i="18"/>
  <c r="H23" i="18" s="1"/>
  <c r="G22" i="18"/>
  <c r="H22" i="18" s="1"/>
  <c r="G21" i="18"/>
  <c r="H21" i="18" s="1"/>
  <c r="G20" i="18"/>
  <c r="H20" i="18" s="1"/>
  <c r="G19" i="18"/>
  <c r="H19" i="18" s="1"/>
  <c r="G18" i="18"/>
  <c r="H18" i="18" s="1"/>
  <c r="G36" i="18"/>
  <c r="H36" i="18" s="1"/>
  <c r="G17" i="18"/>
  <c r="H17" i="18" s="1"/>
  <c r="G16" i="18"/>
  <c r="H16" i="18" s="1"/>
  <c r="G31" i="18"/>
  <c r="H31" i="18" s="1"/>
  <c r="G15" i="18"/>
  <c r="H15" i="18" s="1"/>
  <c r="G14" i="18"/>
  <c r="H14" i="18" s="1"/>
  <c r="G13" i="18"/>
  <c r="H13" i="18" s="1"/>
  <c r="G12" i="18"/>
  <c r="H12" i="18" s="1"/>
  <c r="G30" i="18"/>
  <c r="H30" i="18" s="1"/>
  <c r="G35" i="18"/>
  <c r="H35" i="18" s="1"/>
  <c r="G11" i="18"/>
  <c r="H11" i="18" s="1"/>
  <c r="G10" i="18"/>
  <c r="H10" i="18" s="1"/>
  <c r="G9" i="18"/>
  <c r="H9" i="18" s="1"/>
  <c r="G34" i="18"/>
  <c r="H34" i="18" s="1"/>
  <c r="G8" i="18"/>
  <c r="H8" i="18" s="1"/>
  <c r="G29" i="18"/>
  <c r="H29" i="18" s="1"/>
  <c r="G7" i="18"/>
  <c r="H7" i="18" s="1"/>
  <c r="G3" i="18"/>
  <c r="H3" i="18" s="1"/>
  <c r="G2" i="18"/>
  <c r="H2" i="18" s="1"/>
  <c r="G28" i="18"/>
  <c r="H28" i="18" s="1"/>
  <c r="G6" i="18"/>
  <c r="H6" i="18" s="1"/>
  <c r="G27" i="18"/>
  <c r="H27" i="18" s="1"/>
  <c r="G5" i="18"/>
  <c r="H5" i="18" s="1"/>
  <c r="G26" i="18"/>
  <c r="H26" i="18" s="1"/>
  <c r="G33" i="18"/>
  <c r="H33" i="18" s="1"/>
  <c r="G4" i="18"/>
  <c r="C23" i="1"/>
  <c r="C30" i="1"/>
  <c r="G66" i="17" l="1"/>
  <c r="H66" i="17"/>
  <c r="G38" i="18"/>
  <c r="H4" i="18"/>
  <c r="H38" i="18" s="1"/>
  <c r="C32" i="1"/>
</calcChain>
</file>

<file path=xl/sharedStrings.xml><?xml version="1.0" encoding="utf-8"?>
<sst xmlns="http://schemas.openxmlformats.org/spreadsheetml/2006/main" count="720" uniqueCount="266">
  <si>
    <t>Construction</t>
  </si>
  <si>
    <t>Transportation</t>
  </si>
  <si>
    <t>Ukraine</t>
  </si>
  <si>
    <t>Subsistence Aid</t>
  </si>
  <si>
    <t>Nigeria</t>
  </si>
  <si>
    <t>Pastoral Aid</t>
  </si>
  <si>
    <t>Lebanon</t>
  </si>
  <si>
    <t>Theological Formation</t>
  </si>
  <si>
    <t>Masses</t>
  </si>
  <si>
    <t>Masses: Low</t>
  </si>
  <si>
    <t>Masses: Triduum</t>
  </si>
  <si>
    <t>Masses: Novena</t>
  </si>
  <si>
    <t>Masses: Gregorian</t>
  </si>
  <si>
    <t>Total Masses</t>
  </si>
  <si>
    <t>Grand Total</t>
  </si>
  <si>
    <t>PrID</t>
  </si>
  <si>
    <t>Institution</t>
  </si>
  <si>
    <t>EUR</t>
  </si>
  <si>
    <t>USD</t>
  </si>
  <si>
    <t>Country</t>
  </si>
  <si>
    <t>Fund ID</t>
  </si>
  <si>
    <t>Project Request by Program</t>
  </si>
  <si>
    <t>Syria</t>
  </si>
  <si>
    <t>Holy Land</t>
  </si>
  <si>
    <t>Pakistan</t>
  </si>
  <si>
    <t>Total by programs</t>
  </si>
  <si>
    <t>Fund Decription</t>
  </si>
  <si>
    <t>Project Description</t>
  </si>
  <si>
    <t>IRAQ</t>
  </si>
  <si>
    <t>Syrian (Syriac) Catholic Archbishopric of Mosul (Province of Mosul and villages and towns of Nineveh plain) St Behnam &amp; Sara church  - Baghdeda (Qaraqosh)</t>
  </si>
  <si>
    <t>External restoration of St Behnam and Sara church  - Baghdeda (Qaraqosh)</t>
  </si>
  <si>
    <t>EXAMPLE. 
Please Provide Project Descriptions in English</t>
  </si>
  <si>
    <t>Burkina Faso</t>
  </si>
  <si>
    <t>Sudan</t>
  </si>
  <si>
    <t>ACNINT to propose projects</t>
  </si>
  <si>
    <t>ACNUSA</t>
  </si>
  <si>
    <t>Spiritual  Literature</t>
  </si>
  <si>
    <t>Humanitarian Aid</t>
  </si>
  <si>
    <t xml:space="preserve">Mass Media </t>
  </si>
  <si>
    <t>Low</t>
  </si>
  <si>
    <t>TANZANIA</t>
  </si>
  <si>
    <t>Diocese of Tunduru-Masasi (EPO 2025 priority Diocese)</t>
  </si>
  <si>
    <t>2500 Missae Ordinariae, 100 Triduae, 100 Novenae and 30 Gregorianae for 34 Priests of the Tunduru Masasi Diocese</t>
  </si>
  <si>
    <t>Triduum</t>
  </si>
  <si>
    <t>Novena</t>
  </si>
  <si>
    <t>AFRICA II</t>
  </si>
  <si>
    <t>Claretian Missionaries</t>
  </si>
  <si>
    <t>2300 Missae Ordinariae and 80 Novenae for 55 Claretian priests in Kenya, Tanzania and Uganda - 2025</t>
  </si>
  <si>
    <t>SUDAN</t>
  </si>
  <si>
    <t>Diocese of  El Obeid</t>
  </si>
  <si>
    <t>2720 Ordinary Masses + 34 Novenes for 34 priests serving in the Diocese of El Obeid</t>
  </si>
  <si>
    <t>Gregorian</t>
  </si>
  <si>
    <t>BURKINA FASO</t>
  </si>
  <si>
    <t>Diocèse de Nouna</t>
  </si>
  <si>
    <t>Diocèse de Ouahigouya</t>
  </si>
  <si>
    <t>MALAWI</t>
  </si>
  <si>
    <t>Diocese of Mzuzu
(EPO 2025 priority diocese)</t>
  </si>
  <si>
    <t>2500 Missae Ordinariae, 40 Novenae and 6 Gregorianae for 60 priests of Mzuzu Diocese - 2025</t>
  </si>
  <si>
    <t>ZIMBABWE</t>
  </si>
  <si>
    <t>Diocese of Masvingo</t>
  </si>
  <si>
    <t>2925 Missae Ordinariae and 65 Triduae for 1 Bishop and 64 Priests and 12 Missae Gregorianae for 3 priests working at St Kizito Minor Seminary</t>
  </si>
  <si>
    <t>INDONESIA</t>
  </si>
  <si>
    <t>Keuskupan Labuan Bajo</t>
  </si>
  <si>
    <t>4.700 Ordinary Masses for 97 Priests working in Diocese</t>
  </si>
  <si>
    <t>MYANMAR</t>
  </si>
  <si>
    <t>Diocese of Taungngu (Toungoo)</t>
  </si>
  <si>
    <t>5000 Mass Stipends for 64 diocesan priests working in Taungngu Diocese - 2025</t>
  </si>
  <si>
    <t>NIGERIA</t>
  </si>
  <si>
    <t>Diocese of Maiduguri</t>
  </si>
  <si>
    <t>2772 Missae Ordinariae, 126 Tridua and 60 Novena for 63 priests working in Maiduguri Diocese, 2025</t>
  </si>
  <si>
    <t>Diocese of Myitkyina</t>
  </si>
  <si>
    <t>4500 Mass Stipends for  69 priests - 2025</t>
  </si>
  <si>
    <t>KENYA</t>
  </si>
  <si>
    <t>Diocese of Kitale</t>
  </si>
  <si>
    <t>3120 Missae Ordinariae, 20 Triduae and 60 cantatae for 104 priests of Kitale Diocese, 2025</t>
  </si>
  <si>
    <t>INDIA</t>
  </si>
  <si>
    <t>Diocese of Gumla</t>
  </si>
  <si>
    <t xml:space="preserve">5000 Missae Ordinariae Masses for 114 diocesan priests
</t>
  </si>
  <si>
    <t>DEM.REP. CONGO</t>
  </si>
  <si>
    <t>Diocèse de Butembo-Beni</t>
  </si>
  <si>
    <t>Archdiocese of Guwahati</t>
  </si>
  <si>
    <t>3.350 Ordinary Masses and 40 Novenae for 88 priests, Archdiocese of Guwahati</t>
  </si>
  <si>
    <t>PERU</t>
  </si>
  <si>
    <t>Diócesis de Carabayllo</t>
  </si>
  <si>
    <t>Diocese of Tura</t>
  </si>
  <si>
    <t>3.000 Ordinary Masses, 100 Triduae and 100 Novenae for 63 priests</t>
  </si>
  <si>
    <t>Archdiocese of Shillong</t>
  </si>
  <si>
    <t>3.500 Ordinary Masses and 40 Novenae for 73 Diocesan priests, including Archbishop and Auxiliary Bishop</t>
  </si>
  <si>
    <t>HAITI</t>
  </si>
  <si>
    <t>Evêché Les Cayes</t>
  </si>
  <si>
    <t>ETHIOPIA</t>
  </si>
  <si>
    <t>Eparchy of Bahir Dar - Dessie (ETP)</t>
  </si>
  <si>
    <t>3900 Missae Ordinariae for 39 priests serving in the Eparchy of Bahir Dar-Dessie</t>
  </si>
  <si>
    <t>Diocese of Pathein</t>
  </si>
  <si>
    <t>5000 Mass Stipends for 110 priests working in Pathein Diocese - 2025</t>
  </si>
  <si>
    <t>Diocese of Loikaw</t>
  </si>
  <si>
    <t>5000 Mass Stipends for 120 priests serving communities in Loikaw Diocese / 2025</t>
  </si>
  <si>
    <t>UGANDA</t>
  </si>
  <si>
    <t>Diocese of Hoima
(EPO 2025 priority diocese)</t>
  </si>
  <si>
    <t>3504 Missae Ordinariae, 88 Triduae and 57 Novenae for 219 priests of Hoima Diocese 2025</t>
  </si>
  <si>
    <t>LEBANON</t>
  </si>
  <si>
    <t>Archevêché Grec-Catholique de Beyrouth
et Jbeil (Greek Melkite/ Melchite Archdiocese of Beirut and Jbeil/ MLC)</t>
  </si>
  <si>
    <t>Mass stipends (5.000 missae ordinariae) for 67 priests belonging to the Diocese - 2025</t>
  </si>
  <si>
    <t>Amount</t>
  </si>
  <si>
    <t>Quantity</t>
  </si>
  <si>
    <t>Unit price $ / type</t>
  </si>
  <si>
    <t>1260 Missae Ordinariae + 92 Gregorianae for 44 priests working in the diocese of Nouna</t>
  </si>
  <si>
    <t>960 Missae Ordinariae for 16 priests working in parishes and 99 Gregorianae for 33 priests working in institutions in the diocese of Ouahigouya</t>
  </si>
  <si>
    <t>3094 ORD and 60 NOV for 238 diocesan priests</t>
  </si>
  <si>
    <t>2.925 Missae Ordinariae, 56 Triduum, 30 Novenae y 4 Gregorianae to 65 priests , 2025</t>
  </si>
  <si>
    <t>4,200 Missae Ordinariae for 83 diocesan priests, 2025</t>
  </si>
  <si>
    <t>SYRIA</t>
  </si>
  <si>
    <t>Archidiocèse Grec-Melkite (Greek Melchite) Catholique de Homs, Hama et Yabroud (MLC)</t>
  </si>
  <si>
    <t>Diocèse de Mweka</t>
  </si>
  <si>
    <t>RWANDA</t>
  </si>
  <si>
    <t>Diocèse de Gikongoro</t>
  </si>
  <si>
    <t>PAKISTAN</t>
  </si>
  <si>
    <t>Ibn-e-Mariam Vice Province Pakistan - 
Dominican Order (OP)</t>
  </si>
  <si>
    <t>Media Resources for Dominican House, 153 Ali Block, New Garden
Town, Lahore, Pakistan</t>
  </si>
  <si>
    <t>Greek Orthodox  Archdiocese of  Lattakia -  Greek Orthodox  Patriarchate of Antioch and All the East</t>
  </si>
  <si>
    <t>(ORT) Medical Aid for 1171 sick people in Latakia governorate implemented by the Joint Committee of Latakia churches (August 2024 - August 2025)</t>
  </si>
  <si>
    <t>BURUNDI</t>
  </si>
  <si>
    <t>Soeurs Visitandines</t>
  </si>
  <si>
    <t>MADAGASCAR</t>
  </si>
  <si>
    <t>Archidiocèse de Fianarantsoa</t>
  </si>
  <si>
    <t>Congrégation de la Mission - Lazaristes - Madagascar</t>
  </si>
  <si>
    <t>The Society of the Divine Savior (SDS)
Salvatorian Fathers and Brothers</t>
  </si>
  <si>
    <t>Water purification plant for the Salvatorian formation house in Morogoro</t>
  </si>
  <si>
    <t>Assembly of Catholic Patriarchs and Bishops - A.P.E.C.L. (Assemblée des Patriarches et des Evêques-Bishops' Conference)</t>
  </si>
  <si>
    <t>Emergency support for Catholic Schools due to the war in Lebanon, including stipends for 1,000 teachers - (South of Lebanon, Bekaa, Beirut, Baabda, January - February 2025)</t>
  </si>
  <si>
    <t>Soeurs de Notre-Dame du Lac Bam</t>
  </si>
  <si>
    <t>Diocèse de Tolagnaro</t>
  </si>
  <si>
    <t>MALI</t>
  </si>
  <si>
    <t>Diocèse de Segou</t>
  </si>
  <si>
    <t>UKRAINE</t>
  </si>
  <si>
    <t>Kharkivsko-Zaporizka Dietseziya</t>
  </si>
  <si>
    <t>Prelate of Armenian Orthodox - Aleppo 
(Prélature/Prelacy Arménienne Orthodox d'Alep)</t>
  </si>
  <si>
    <t>(ORT) Emergency support for 10 schools belonging to the Armenian Orthodox Archdiocese of Aleppo, including stipends for 665 teachers - (Aleppo, 2024-2025)</t>
  </si>
  <si>
    <t>BENIN</t>
  </si>
  <si>
    <t>Institut des Pauvres Filles de la Visitation de Marie</t>
  </si>
  <si>
    <t>Diocese of Kitui</t>
  </si>
  <si>
    <t>Formation for priests from the Metropolitan area of  Nairobi, Ngong, Machakos, Kitui, Nakuru, Kericho - May &amp; Aug 2025</t>
  </si>
  <si>
    <t>PHILIPPINES</t>
  </si>
  <si>
    <t>Silsilah Dialogue Movement</t>
  </si>
  <si>
    <t xml:space="preserve">Two year Training Program for Catechists and Madaris-Teachers, (2025-2026)
</t>
  </si>
  <si>
    <t>PALESTINE</t>
  </si>
  <si>
    <t>Latin Patriarchate  - Jerusalem (LPJ) (for Israel, Palestine, Jordan, Cyprus)</t>
  </si>
  <si>
    <t>Pilgrimage of 75 youth of the Youth of Jesus Homeland to Rome for the 2025 Jubilee Year</t>
  </si>
  <si>
    <t>CAMEROON</t>
  </si>
  <si>
    <t>Diocese of Kumbo</t>
  </si>
  <si>
    <t>Ongoing formation for 138 priests in the diocese of Kumbo 2025</t>
  </si>
  <si>
    <t>Monastère du Carmel du Saint Enfant Jésus de Malole (Moniales Carmélites Déchaussées)</t>
  </si>
  <si>
    <t>Diocese of Eldoret</t>
  </si>
  <si>
    <t>Ongoing formation of the clergy in Eldoret - 2025 to 2026</t>
  </si>
  <si>
    <t>Radio Maria Nigeria</t>
  </si>
  <si>
    <t>Establishing a Radio Network of Radio Maria Nigeria - Jos Substation</t>
  </si>
  <si>
    <t>Catholic Diocese of Osogbo</t>
  </si>
  <si>
    <t>Formation of 35 seminarians of Osogbo Diocese - 2024 to 2025</t>
  </si>
  <si>
    <t>La Salle Brothers Pakistan, FSC</t>
  </si>
  <si>
    <t>Maintenance and Renovation of St. Benildus Literacy School and School of Cooking  under National Catechists Training Centre (NCTC), Khushpur  -  REOPENED :  for the most urgent works</t>
  </si>
  <si>
    <t>Emmaus Dialogue Community Inc.</t>
  </si>
  <si>
    <t>On-going formation of two members of the Emmaus Dialogue community, 3 years 2025 - 2028</t>
  </si>
  <si>
    <t>Kyivsko-Zhytomyrska Dietseziya</t>
  </si>
  <si>
    <t>BOLIVIA</t>
  </si>
  <si>
    <t>Comunidad Misionera de Cristo Pastor</t>
  </si>
  <si>
    <t>76 Pastoral Summer camps for 2300 People (incl. handicapped) from The Faith and Light Community - All governorates, July 2025/  September 2025</t>
  </si>
  <si>
    <t>Soeurs Adoratrices de la Sainte Trinité
Monastère Marie Reine de la Paix</t>
  </si>
  <si>
    <t>MOZAMBIQUE</t>
  </si>
  <si>
    <t>Congregação das Irmãs da Imaculada Conceição (IIC)</t>
  </si>
  <si>
    <t>Diocese de Pemba</t>
  </si>
  <si>
    <t>Sisters of St. Michael the Archangel (SSMA)</t>
  </si>
  <si>
    <t>Annual Retreat for 145 Sisters of St Michael the Archangel, Ekiti, September and October 2025</t>
  </si>
  <si>
    <t>Diocese of Kigoma (EPO 2025 priority Diocese)</t>
  </si>
  <si>
    <t>Contribution towards the formation of  93 catechists at Kasulu Catechetical Training Centre, 2025</t>
  </si>
  <si>
    <t>ZAMBIA</t>
  </si>
  <si>
    <t>Diocese of Mansa</t>
  </si>
  <si>
    <t>Formation of 31 Seminarians, 2024-2025</t>
  </si>
  <si>
    <t>Diocese of Bettiah</t>
  </si>
  <si>
    <t xml:space="preserve">Construction of a Presbytery at Chuhari Mission, West Champran District Bihar
</t>
  </si>
  <si>
    <t>Holy Spirit Sisters, OSS  
Atmadhara Region</t>
  </si>
  <si>
    <t>Formation for 11 Novices (5 second year and 6 first year) and 11 Juniorate Sisters of Atmadhara and Jeevadhara Region of the Holy Spirit Sisters in the Opus Spiritus Sancti (OSS), India  (2025 - 2026)</t>
  </si>
  <si>
    <t>Diocèse d'Alep des Chaldéens (Aleppo and all Syria - CLD)</t>
  </si>
  <si>
    <t>Medical aid for 1800 sick people from all rites in Aleppo by the Joint Catholic Committee - (Aleppo, June 2025 - May 2026).</t>
  </si>
  <si>
    <t>Kyivska Arkhyeparkhiya</t>
  </si>
  <si>
    <t>Abatstvo sester BENEDYKTYNEK              
Neporochnoho Zachattya PDM</t>
  </si>
  <si>
    <t>Sister Servants of Mary Immaculate</t>
  </si>
  <si>
    <t>Mukachivska Eparkhiya</t>
  </si>
  <si>
    <t>Sluzhebnytsi Hospoda ta Divy Mariyi z Matara</t>
  </si>
  <si>
    <t>Odesko-Simferopolska Dietseziya</t>
  </si>
  <si>
    <t>ODESKYI EKZARKHAT</t>
  </si>
  <si>
    <t>Missionary Oblates of Mary Immaculate (OMI)</t>
  </si>
  <si>
    <t>Construction of St Eugene de Mazenod Chapel in Kensington (Bulawayo, Zimbabwe)</t>
  </si>
  <si>
    <t>Seminario Diocesano Corazón de Cristo</t>
  </si>
  <si>
    <t>Arzobispado de Huancayo</t>
  </si>
  <si>
    <t>Greek Melkite (Melchite) Catholic Patriarchate of Antioche &amp; All the East of Alexandria  &amp; of Jerusalem (MLC)</t>
  </si>
  <si>
    <t>Support of the Joint Medical Committee for surgical operations and medical (chronical or not) treatments (January 2025 - December 2025); Damascus Region</t>
  </si>
  <si>
    <t>Greek Orthodox Archdioceses of Homs - Patriarchate of Antioch and all the East (Larissa)</t>
  </si>
  <si>
    <t>(ORT) Emergency support for the Greek Orthodox schools in Homs including stipends for 228 teachers from (January - September 2025)</t>
  </si>
  <si>
    <t>Soeurs Missionnaires de Sainte Thérèse de l'Enfant Jésus</t>
  </si>
  <si>
    <t>CENTRAL AFRICAN REPUBLIC</t>
  </si>
  <si>
    <t>Archidiocèse de Bangui</t>
  </si>
  <si>
    <t>NAMIBIA</t>
  </si>
  <si>
    <t>St Charles Lwanga Major Seminary</t>
  </si>
  <si>
    <t>Support to purchase 500 books for the 2024 academic year for St. Charles Luanga major seminary</t>
  </si>
  <si>
    <t>Formation of 66 residential candidates for catechists from 6 dioceses at St. Albert´s National Training Center, Khushpur - 2025</t>
  </si>
  <si>
    <t>VANUATU</t>
  </si>
  <si>
    <t>Diocese of Port-Vila</t>
  </si>
  <si>
    <t>Training 4 postulants for the Pacific Regional Seminary in Fiji / 2025 - 2026</t>
  </si>
  <si>
    <t>Missionaries of St Francis de Sales (MSFS)
(Fransalians)</t>
  </si>
  <si>
    <t>Furnishing and equipment for the new lecture halls and library at Lumen Christi Institute, Arusha (co-financing)</t>
  </si>
  <si>
    <t>Congregation des Soeurs de Saint Joseph de Lyon (Liban)</t>
  </si>
  <si>
    <t>Christmas gifts for 12.000 children and Youth cared for by the sisters of St Joseph de Lyon - 2025/ 2026</t>
  </si>
  <si>
    <t>Catholic Archdiocese of Karachi</t>
  </si>
  <si>
    <t>Construction cofinanced of St Francis Xavier Church at Qayyumabad, St James parish, Bhittai Colony Korangi</t>
  </si>
  <si>
    <t>Two Vehicle’s for Pastoral Work at St. John’s Parish and Good Shepherd Parish, Karachi- Pakistan”</t>
  </si>
  <si>
    <t>Good Shepherd Convent 
Diocese of Multan</t>
  </si>
  <si>
    <t>Repair and Renovation of Good Shepherd Convent in Nagashband Colony, Multan</t>
  </si>
  <si>
    <t>Fund Description</t>
  </si>
  <si>
    <t>Mass Media</t>
  </si>
  <si>
    <t>Spiritual Literature</t>
  </si>
  <si>
    <t>EUR                  2025 1,1</t>
  </si>
  <si>
    <t>Formation 40 seminarians for the Diocese of Mweka, 2024-2025</t>
  </si>
  <si>
    <t>Formation 41 seminarians from the diocese of Gikongoro</t>
  </si>
  <si>
    <t>Aid to pay rent for 500 needy Christian families from all Churches in Homs- June 2024/ May 2025</t>
  </si>
  <si>
    <t>Existence aid for the Sisters of the Visitation Sainte Marie, St Pierre Claver Parish, Makamba</t>
  </si>
  <si>
    <t>Formation of 67 major seminarians and 20 propaedeutes in the diocese of Fianarantsoa (2024-25)</t>
  </si>
  <si>
    <t>Formation of 52 seminarians for the Pères Lazaristes de Madagascar, Vohitsoa interdiocesan seminary (2024-2025)</t>
  </si>
  <si>
    <t>Existence aid for 113 Sisters of Notre Dame du Lac de Bam, 2025</t>
  </si>
  <si>
    <t>Formation of 34 major seminarians of the diocese of Tolagnaro 2024-2025</t>
  </si>
  <si>
    <t>Existence aid for 28 sisters serving in the diocese of Ségou</t>
  </si>
  <si>
    <t>Emergency aid for 76 people (priests, nuns and brothers) in the diocese of Kharkiv-Zaporizhzhya for 2025</t>
  </si>
  <si>
    <t>Vehicle for the Poor Daughters of the Visitation of Mary, Banikoara Parish</t>
  </si>
  <si>
    <t>Existence aid for the 37 Sisters of the Visitation of Ruyigi</t>
  </si>
  <si>
    <t>Existence aid for 18 sisters of the Congrégation des Carmélites Déchaussées in Malole, Monastère du Saint Enfant Jésus</t>
  </si>
  <si>
    <t>Holidays with God for children, young people and families in the Kyiv-Zhytomyr diocese for 2025</t>
  </si>
  <si>
    <t>Philosophical, Theological and Spiritual Formation of 10 seminarians and Support of the Public Association of Clergy "Missionary Community of Christ the Shepherd", 2025.</t>
  </si>
  <si>
    <t>Existence aid for the Sisters Adorers of the Holy Trinity</t>
  </si>
  <si>
    <t>Vehicle for the General House of the Congregation of the Sisters of the Immaculate Conception in Cuamba</t>
  </si>
  <si>
    <t>Spiritual assistance for people displaced by armed attacks in Cabo Delgado</t>
  </si>
  <si>
    <t>Subsistence aid for 35 nuns of the Kyiv archparish for 2025</t>
  </si>
  <si>
    <t>Subsistence aid for 15 cloistered Benedictine nuns in Zhytomyr for 2025</t>
  </si>
  <si>
    <t>Subsistence aid for 10 Sisters of Mary Immaculate in Transcarpathia</t>
  </si>
  <si>
    <t>Car for the bishop of the Eparchy of Mukachevo</t>
  </si>
  <si>
    <t>Subsistence aid for 11 contemplative sisters of the Servants of the Lord and the Virgin Mary of Matara in Burshtyn and Danylovo for 2025</t>
  </si>
  <si>
    <t>Emergency aid for 12 priests and 3 sisters on the Krym for 2025</t>
  </si>
  <si>
    <t>Emergency aid for 46 priests and 11 sisters of the Odesa Exarchate for 2025</t>
  </si>
  <si>
    <t>Formation of 26 seminarians at the Heart of Christ Diocesan Seminary, 2025</t>
  </si>
  <si>
    <t>Formation of 27 Seminarians at St. Pius X Major Seminary, 2025</t>
  </si>
  <si>
    <t>Toyota Hilux 4x4 double cab for the Sisters' mission in Abitanga</t>
  </si>
  <si>
    <t>Land Cruiser LC 300 for the Archbishop of Bangui</t>
  </si>
  <si>
    <t>Greek Orthodox Archdioceses of Damascus &amp; Homs - Patriarchate of Antioch and all the East (Larissa)</t>
  </si>
  <si>
    <t>(ORT) Tuition Fees Support for 1300 students attending 7 schools belonging to the Greek Orthodox Archdiocese of  Damascus - academic year 2024/ 2025</t>
  </si>
  <si>
    <t>Compagnie de Jésus au Proche-Orient  
Jesuit Fathers</t>
  </si>
  <si>
    <t>Medical aid for 3000 sick Christian people organised by the Jesuit congregation - (Homs, May 2024 - April 2025).</t>
  </si>
  <si>
    <t>Chaldean Archdiocese of Mosul (Mossul CLD)</t>
  </si>
  <si>
    <t>Further assistance towards the renovation of St Barbara Kindergarten - Karemless (co-financing)</t>
  </si>
  <si>
    <t>Proposal ACN International</t>
  </si>
  <si>
    <t>* 1 project for IRAQ</t>
  </si>
  <si>
    <t>Sum of USD</t>
  </si>
  <si>
    <t>Total</t>
  </si>
  <si>
    <t>Details for Sum of USD - Fund Description: Construction</t>
  </si>
  <si>
    <t>Details for Sum of USD - Fund Description: Humanitarian Aid</t>
  </si>
  <si>
    <t>Details for Sum of USD - Fund Description: Transportation</t>
  </si>
  <si>
    <t>Details for Sum of USD - Fund Description: Subsistence Aid</t>
  </si>
  <si>
    <t>Details for Sum of USD - Fund Description: Pastoral Aid</t>
  </si>
  <si>
    <t>Details for Sum of USD - Fund Description: Mass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</si>
</sst>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\ &quot;€&quot;_-;\-* #,##0.00\ &quot;€&quot;_-;_-* &quot;-&quot;??\ &quot;€&quot;_-;_-@_-"/>
    <numFmt numFmtId="165" formatCode="_([$$-409]* #,##0_);_([$$-409]* \(#,##0\);_([$$-409]* &quot;-&quot;??_);_(@_)"/>
    <numFmt numFmtId="166" formatCode="_(&quot;$&quot;* #,##0_);_(&quot;$&quot;* \(#,##0\);_(&quot;$&quot;* &quot;-&quot;??_);_(@_)"/>
    <numFmt numFmtId="167" formatCode="########"/>
    <numFmt numFmtId="168" formatCode="_-* #,##0.00\ [$€-407]_-;\-* #,##0.00\ [$€-407]_-;_-* &quot;-&quot;??\ [$€-407]_-;_-@_-"/>
    <numFmt numFmtId="170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color rgb="FF9C0006"/>
      <name val="Calibri"/>
      <family val="2"/>
      <scheme val="minor"/>
    </font>
    <font>
      <b/>
      <sz val="11"/>
      <color rgb="FF244062"/>
      <name val="Calibri"/>
      <family val="2"/>
    </font>
    <font>
      <b/>
      <sz val="20"/>
      <color rgb="FF9C0006"/>
      <name val="Calibri"/>
      <family val="2"/>
      <scheme val="minor"/>
    </font>
    <font>
      <b/>
      <sz val="12"/>
      <color theme="1"/>
      <name val="Aptos"/>
      <family val="2"/>
    </font>
    <font>
      <b/>
      <sz val="12"/>
      <color theme="4" tint="-0.499984740745262"/>
      <name val="Aptos"/>
      <family val="2"/>
    </font>
    <font>
      <sz val="12"/>
      <color theme="1"/>
      <name val="Aptos"/>
      <family val="2"/>
    </font>
    <font>
      <b/>
      <sz val="12"/>
      <color theme="4" tint="-0.249977111117893"/>
      <name val="Aptos"/>
      <family val="2"/>
    </font>
    <font>
      <b/>
      <sz val="11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4" fillId="5" borderId="0" applyNumberFormat="0" applyBorder="0" applyAlignment="0" applyProtection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66" fontId="0" fillId="0" borderId="0" xfId="1" applyNumberFormat="1" applyFont="1" applyAlignment="1">
      <alignment vertical="center" wrapText="1"/>
    </xf>
    <xf numFmtId="0" fontId="5" fillId="7" borderId="0" xfId="0" applyFont="1" applyFill="1" applyAlignment="1">
      <alignment horizontal="center" vertical="center" wrapText="1"/>
    </xf>
    <xf numFmtId="164" fontId="5" fillId="7" borderId="0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66" fontId="3" fillId="0" borderId="0" xfId="1" applyNumberFormat="1" applyFont="1" applyFill="1" applyBorder="1" applyAlignment="1">
      <alignment horizontal="left" vertical="center" wrapText="1"/>
    </xf>
    <xf numFmtId="0" fontId="6" fillId="5" borderId="0" xfId="3" applyFont="1" applyAlignment="1">
      <alignment horizontal="center" vertical="center" wrapText="1"/>
    </xf>
    <xf numFmtId="0" fontId="7" fillId="6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8" fillId="2" borderId="0" xfId="0" applyFont="1" applyFill="1" applyAlignment="1">
      <alignment horizontal="left"/>
    </xf>
    <xf numFmtId="0" fontId="9" fillId="0" borderId="0" xfId="0" applyFont="1" applyAlignment="1">
      <alignment horizontal="left" indent="2"/>
    </xf>
    <xf numFmtId="0" fontId="7" fillId="8" borderId="0" xfId="0" applyFont="1" applyFill="1" applyAlignment="1">
      <alignment horizontal="left" indent="2"/>
    </xf>
    <xf numFmtId="0" fontId="9" fillId="0" borderId="0" xfId="0" applyFont="1" applyAlignment="1">
      <alignment horizontal="left" indent="6"/>
    </xf>
    <xf numFmtId="0" fontId="10" fillId="3" borderId="0" xfId="0" applyFont="1" applyFill="1" applyAlignment="1">
      <alignment horizontal="left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165" fontId="9" fillId="0" borderId="0" xfId="1" applyNumberFormat="1" applyFont="1"/>
    <xf numFmtId="165" fontId="7" fillId="2" borderId="0" xfId="1" applyNumberFormat="1" applyFont="1" applyFill="1"/>
    <xf numFmtId="165" fontId="9" fillId="0" borderId="0" xfId="1" applyNumberFormat="1" applyFont="1" applyFill="1"/>
    <xf numFmtId="165" fontId="8" fillId="2" borderId="0" xfId="1" applyNumberFormat="1" applyFont="1" applyFill="1"/>
    <xf numFmtId="165" fontId="8" fillId="0" borderId="0" xfId="1" applyNumberFormat="1" applyFont="1" applyFill="1"/>
    <xf numFmtId="165" fontId="7" fillId="0" borderId="0" xfId="1" applyNumberFormat="1" applyFont="1"/>
    <xf numFmtId="0" fontId="9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9" fillId="9" borderId="0" xfId="0" applyFont="1" applyFill="1" applyAlignment="1">
      <alignment horizontal="left" indent="6"/>
    </xf>
    <xf numFmtId="0" fontId="9" fillId="9" borderId="0" xfId="0" applyFont="1" applyFill="1" applyAlignment="1">
      <alignment horizontal="center"/>
    </xf>
    <xf numFmtId="165" fontId="9" fillId="9" borderId="0" xfId="1" applyNumberFormat="1" applyFont="1" applyFill="1"/>
    <xf numFmtId="167" fontId="0" fillId="0" borderId="0" xfId="0" applyNumberFormat="1" applyAlignment="1">
      <alignment vertical="top"/>
    </xf>
    <xf numFmtId="168" fontId="5" fillId="7" borderId="0" xfId="1" applyNumberFormat="1" applyFont="1" applyFill="1" applyBorder="1" applyAlignment="1">
      <alignment horizontal="center" vertical="center" wrapText="1"/>
    </xf>
    <xf numFmtId="168" fontId="0" fillId="0" borderId="0" xfId="0" applyNumberFormat="1" applyAlignment="1">
      <alignment vertical="center" wrapText="1"/>
    </xf>
    <xf numFmtId="168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12" fillId="0" borderId="0" xfId="0" applyFont="1" applyAlignment="1">
      <alignment horizontal="left" vertical="center"/>
    </xf>
    <xf numFmtId="165" fontId="0" fillId="0" borderId="0" xfId="1" applyNumberFormat="1" applyFont="1"/>
    <xf numFmtId="0" fontId="0" fillId="10" borderId="0" xfId="0" applyFill="1"/>
    <xf numFmtId="0" fontId="0" fillId="10" borderId="0" xfId="0" applyFill="1" applyAlignment="1">
      <alignment vertical="center" wrapText="1"/>
    </xf>
    <xf numFmtId="0" fontId="14" fillId="2" borderId="0" xfId="0" applyFont="1" applyFill="1" applyAlignment="1">
      <alignment horizontal="left" vertical="center"/>
    </xf>
    <xf numFmtId="0" fontId="15" fillId="2" borderId="0" xfId="0" applyFont="1" applyFill="1"/>
    <xf numFmtId="165" fontId="15" fillId="2" borderId="0" xfId="1" applyNumberFormat="1" applyFont="1" applyFill="1"/>
    <xf numFmtId="1" fontId="0" fillId="10" borderId="0" xfId="0" applyNumberFormat="1" applyFill="1" applyAlignment="1">
      <alignment vertical="center" wrapText="1"/>
    </xf>
    <xf numFmtId="0" fontId="13" fillId="0" borderId="0" xfId="0" applyFont="1"/>
    <xf numFmtId="167" fontId="16" fillId="0" borderId="0" xfId="0" applyNumberFormat="1" applyFont="1" applyAlignment="1">
      <alignment vertical="top" wrapText="1"/>
    </xf>
    <xf numFmtId="168" fontId="5" fillId="7" borderId="0" xfId="1" applyNumberFormat="1" applyFont="1" applyFill="1" applyBorder="1" applyAlignment="1">
      <alignment horizontal="center" wrapText="1"/>
    </xf>
    <xf numFmtId="168" fontId="0" fillId="0" borderId="0" xfId="0" applyNumberFormat="1" applyAlignment="1">
      <alignment horizontal="right" vertical="center"/>
    </xf>
    <xf numFmtId="168" fontId="0" fillId="0" borderId="0" xfId="0" applyNumberFormat="1" applyAlignment="1">
      <alignment horizontal="right" vertical="center" wrapText="1"/>
    </xf>
    <xf numFmtId="166" fontId="11" fillId="0" borderId="0" xfId="1" applyNumberFormat="1" applyFont="1" applyAlignment="1">
      <alignment vertical="center" wrapText="1"/>
    </xf>
    <xf numFmtId="166" fontId="17" fillId="0" borderId="0" xfId="1" applyNumberFormat="1" applyFont="1" applyFill="1" applyBorder="1" applyAlignment="1">
      <alignment horizontal="left" vertical="center" wrapText="1"/>
    </xf>
    <xf numFmtId="168" fontId="17" fillId="0" borderId="0" xfId="0" applyNumberFormat="1" applyFont="1" applyAlignment="1">
      <alignment horizontal="center" vertical="center" wrapText="1"/>
    </xf>
    <xf numFmtId="0" fontId="9" fillId="11" borderId="0" xfId="0" applyFont="1" applyFill="1"/>
    <xf numFmtId="165" fontId="9" fillId="11" borderId="0" xfId="0" applyNumberFormat="1" applyFont="1" applyFill="1"/>
    <xf numFmtId="165" fontId="9" fillId="11" borderId="0" xfId="1" applyNumberFormat="1" applyFont="1" applyFill="1"/>
    <xf numFmtId="3" fontId="9" fillId="0" borderId="0" xfId="0" applyNumberFormat="1" applyFont="1"/>
    <xf numFmtId="0" fontId="0" fillId="0" borderId="0" xfId="0" pivotButton="1"/>
    <xf numFmtId="166" fontId="0" fillId="0" borderId="0" xfId="0" applyNumberFormat="1"/>
    <xf numFmtId="0" fontId="9" fillId="0" borderId="0" xfId="0" applyFont="1" applyAlignment="1">
      <alignment wrapText="1"/>
    </xf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0" fontId="11" fillId="0" borderId="0" xfId="0" applyFont="1"/>
    <xf numFmtId="0" fontId="0" fillId="0" borderId="0" xfId="0" applyAlignment="1">
      <alignment vertical="top" wrapText="1"/>
    </xf>
    <xf numFmtId="0" fontId="11" fillId="0" borderId="0" xfId="0" applyFont="1" applyAlignment="1">
      <alignment vertical="top"/>
    </xf>
    <xf numFmtId="0" fontId="0" fillId="0" borderId="0" xfId="0" applyAlignment="1">
      <alignment vertical="top"/>
    </xf>
    <xf numFmtId="170" fontId="0" fillId="0" borderId="0" xfId="4" applyNumberFormat="1" applyFont="1" applyAlignment="1">
      <alignment vertical="top"/>
    </xf>
    <xf numFmtId="170" fontId="0" fillId="0" borderId="0" xfId="4" applyNumberFormat="1" applyFont="1"/>
  </cellXfs>
  <cellStyles count="5">
    <cellStyle name="Bad" xfId="3" builtinId="27"/>
    <cellStyle name="Comma" xfId="4" builtinId="3"/>
    <cellStyle name="Currency" xfId="1" builtinId="4"/>
    <cellStyle name="Normal" xfId="0" builtinId="0"/>
    <cellStyle name="Standard 2" xfId="2" xr:uid="{8FC4E242-C0B6-4F6A-AE23-5B1AB12CC1B3}"/>
  </cellStyles>
  <dxfs count="106">
    <dxf>
      <numFmt numFmtId="170" formatCode="_(* #,##0_);_(* \(#,##0\);_(* &quot;-&quot;??_);_(@_)"/>
    </dxf>
    <dxf>
      <numFmt numFmtId="170" formatCode="_(* #,##0_);_(* \(#,##0\);_(* &quot;-&quot;??_);_(@_)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70" formatCode="_(* #,##0_);_(* \(#,##0\);_(* &quot;-&quot;??_);_(@_)"/>
      <alignment horizontal="general" vertical="top" textRotation="0" indent="0" justifyLastLine="0" shrinkToFit="0" readingOrder="0"/>
    </dxf>
    <dxf>
      <numFmt numFmtId="170" formatCode="_(* #,##0_);_(* \(#,##0\);_(* &quot;-&quot;??_);_(@_)"/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numFmt numFmtId="170" formatCode="_(* #,##0_);_(* \(#,##0\);_(* &quot;-&quot;??_);_(@_)"/>
      <alignment horizontal="general" vertical="top" textRotation="0" indent="0" justifyLastLine="0" shrinkToFit="0" readingOrder="0"/>
    </dxf>
    <dxf>
      <numFmt numFmtId="170" formatCode="_(* #,##0_);_(* \(#,##0\);_(* &quot;-&quot;??_);_(@_)"/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numFmt numFmtId="170" formatCode="_(* #,##0_);_(* \(#,##0\);_(* &quot;-&quot;??_);_(@_)"/>
    </dxf>
    <dxf>
      <numFmt numFmtId="170" formatCode="_(* #,##0_);_(* \(#,##0\);_(* &quot;-&quot;??_);_(@_)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70" formatCode="_(* #,##0_);_(* \(#,##0\);_(* &quot;-&quot;??_);_(@_)"/>
      <alignment horizontal="general" vertical="top" textRotation="0" indent="0" justifyLastLine="0" shrinkToFit="0" readingOrder="0"/>
    </dxf>
    <dxf>
      <numFmt numFmtId="170" formatCode="_(* #,##0_);_(* \(#,##0\);_(* &quot;-&quot;??_);_(@_)"/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Gorricho" refreshedDate="45881.607220254627" createdVersion="8" refreshedVersion="8" minRefreshableVersion="3" recordCount="64" xr:uid="{CFFC826B-4F55-44A8-BCC6-F83AB3328C52}">
  <cacheSource type="worksheet">
    <worksheetSource ref="A1:H65" sheet="Proposal Königstein - Projects"/>
  </cacheSource>
  <cacheFields count="8">
    <cacheField name="Fund ID" numFmtId="0">
      <sharedItems containsSemiMixedTypes="0" containsString="0" containsNumber="1" containsInteger="1" minValue="19" maxValue="89" count="8">
        <n v="29"/>
        <n v="69"/>
        <n v="19"/>
        <n v="59"/>
        <n v="79"/>
        <n v="89"/>
        <n v="49"/>
        <n v="39"/>
      </sharedItems>
    </cacheField>
    <cacheField name="Fund Description" numFmtId="0">
      <sharedItems count="8">
        <s v="Transportation"/>
        <s v="Mass Media"/>
        <s v="Construction"/>
        <s v="Humanitarian Aid"/>
        <s v="Theological Formation"/>
        <s v="Spiritual Literature"/>
        <s v="Pastoral Aid"/>
        <s v="Subsistence Aid"/>
      </sharedItems>
    </cacheField>
    <cacheField name="Country" numFmtId="0">
      <sharedItems/>
    </cacheField>
    <cacheField name="PrID" numFmtId="0">
      <sharedItems containsSemiMixedTypes="0" containsString="0" containsNumber="1" containsInteger="1" minValue="2301884" maxValue="2504727"/>
    </cacheField>
    <cacheField name="Institution" numFmtId="0">
      <sharedItems/>
    </cacheField>
    <cacheField name="Project Description" numFmtId="0">
      <sharedItems count="64">
        <s v="Land Cruiser LC 300 for the Archbishop of Bangui"/>
        <s v="Establishing a Radio Network of Radio Maria Nigeria - Jos Substation"/>
        <s v="Furnishing and equipment for the new lecture halls and library at Lumen Christi Institute, Arusha (co-financing)"/>
        <s v="Aid to pay rent for 500 needy Christian families from all Churches in Homs- June 2024/ May 2025"/>
        <s v="Formation 40 seminarians for the Diocese of Mweka, 2024-2025"/>
        <s v="Formation for priests from the Metropolitan area of  Nairobi, Ngong, Machakos, Kitui, Nakuru, Kericho - May &amp; Aug 2025"/>
        <s v="Support to purchase 500 books for the 2024 academic year for St. Charles Luanga major seminary"/>
        <s v="Contribution towards the formation of  93 catechists at Kasulu Catechetical Training Centre, 2025"/>
        <s v="Construction cofinanced of St Francis Xavier Church at Qayyumabad, St James parish, Bhittai Colony Korangi"/>
        <s v="Media Resources for Dominican House, 153 Ali Block, New Garden_x000a_Town, Lahore, Pakistan"/>
        <s v="Water purification plant for the Salvatorian formation house in Morogoro"/>
        <s v="Construction of St Eugene de Mazenod Chapel in Kensington (Bulawayo, Zimbabwe)"/>
        <s v="Vehicle for the General House of the Congregation of the Sisters of the Immaculate Conception in Cuamba"/>
        <s v="Existence aid for the Sisters of the Visitation Sainte Marie, St Pierre Claver Parish, Makamba"/>
        <s v="(ORT) Medical Aid for 1171 sick people in Latakia governorate implemented by the Joint Committee of Latakia churches (August 2024 - August 2025)"/>
        <s v="Support of the Joint Medical Committee for surgical operations and medical (chronical or not) treatments (January 2025 - December 2025); Damascus Region"/>
        <s v="Two year Training Program for Catechists and Madaris-Teachers, (2025-2026)_x000a_"/>
        <s v="Emergency support for Catholic Schools due to the war in Lebanon, including stipends for 1,000 teachers - (South of Lebanon, Bekaa, Beirut, Baabda, January - February 2025)"/>
        <s v="(ORT) Emergency support for 10 schools belonging to the Armenian Orthodox Archdiocese of Aleppo, including stipends for 665 teachers - (Aleppo, 2024-2025)"/>
        <s v="(ORT) Emergency support for the Greek Orthodox schools in Homs including stipends for 228 teachers from (January - September 2025)"/>
        <s v="Formation of 31 Seminarians, 2024-2025"/>
        <s v="Formation of 35 seminarians of Osogbo Diocese - 2024 to 2025"/>
        <s v="Formation 41 seminarians from the diocese of Gikongoro"/>
        <s v="Formation of 52 seminarians for the Pères Lazaristes de Madagascar, Vohitsoa interdiocesan seminary (2024-2025)"/>
        <s v="Existence aid for 113 Sisters of Notre Dame du Lac de Bam, 2025"/>
        <s v="Construction of a Presbytery at Chuhari Mission, West Champran District Bihar_x000a_"/>
        <s v="Training 4 postulants for the Pacific Regional Seminary in Fiji / 2025 - 2026"/>
        <s v="Emergency aid for 76 people (priests, nuns and brothers) in the diocese of Kharkiv-Zaporizhzhya for 2025"/>
        <s v="Two Vehicle’s for Pastoral Work at St. John’s Parish and Good Shepherd Parish, Karachi- Pakistan”"/>
        <s v="Formation of 67 major seminarians and 20 propaedeutes in the diocese of Fianarantsoa (2024-25)"/>
        <s v="Ongoing formation of the clergy in Eldoret - 2025 to 2026"/>
        <s v="Vehicle for the Poor Daughters of the Visitation of Mary, Banikoara Parish"/>
        <s v="Ongoing formation for 138 priests in the diocese of Kumbo 2025"/>
        <s v="Existence aid for the 37 Sisters of the Visitation of Ruyigi"/>
        <s v="76 Pastoral Summer camps for 2300 People (incl. handicapped) from The Faith and Light Community - All governorates, July 2025/  September 2025"/>
        <s v="Toyota Hilux 4x4 double cab for the Sisters' mission in Abitanga"/>
        <s v="Spiritual assistance for people displaced by armed attacks in Cabo Delgado"/>
        <s v="Maintenance and Renovation of St. Benildus Literacy School and School of Cooking  under National Catechists Training Centre (NCTC), Khushpur  -  REOPENED :  for the most urgent works"/>
        <s v="Existence aid for the Sisters Adorers of the Holy Trinity"/>
        <s v="Existence aid for 18 sisters of the Congrégation des Carmélites Déchaussées in Malole, Monastère du Saint Enfant Jésus"/>
        <s v="Pilgrimage of 75 youth of the Youth of Jesus Homeland to Rome for the 2025 Jubilee Year"/>
        <s v="Formation of 27 Seminarians at St. Pius X Major Seminary, 2025"/>
        <s v="Philosophical, Theological and Spiritual Formation of 10 seminarians and Support of the Public Association of Clergy &quot;Missionary Community of Christ the Shepherd&quot;, 2025."/>
        <s v="Existence aid for 28 sisters serving in the diocese of Ségou"/>
        <s v="Formation of 34 major seminarians of the diocese of Tolagnaro 2024-2025"/>
        <s v="Christmas gifts for 12.000 children and Youth cared for by the sisters of St Joseph de Lyon - 2025/ 2026"/>
        <s v="Formation of 66 residential candidates for catechists from 6 dioceses at St. Albert´s National Training Center, Khushpur - 2025"/>
        <s v="Annual Retreat for 145 Sisters of St Michael the Archangel, Ekiti, September and October 2025"/>
        <s v="Subsistence aid for 35 nuns of the Kyiv archparish for 2025"/>
        <s v="Medical aid for 1800 sick people from all rites in Aleppo by the Joint Catholic Committee - (Aleppo, June 2025 - May 2026)."/>
        <s v="Subsistence aid for 11 contemplative sisters of the Servants of the Lord and the Virgin Mary of Matara in Burshtyn and Danylovo for 2025"/>
        <s v="Repair and Renovation of Good Shepherd Convent in Nagashband Colony, Multan"/>
        <s v="Holidays with God for children, young people and families in the Kyiv-Zhytomyr diocese for 2025"/>
        <s v="Emergency aid for 12 priests and 3 sisters on the Krym for 2025"/>
        <s v="Subsistence aid for 10 Sisters of Mary Immaculate in Transcarpathia"/>
        <s v="Formation of 26 seminarians at the Heart of Christ Diocesan Seminary, 2025"/>
        <s v="On-going formation of two members of the Emmaus Dialogue community, 3 years 2025 - 2028"/>
        <s v="Car for the bishop of the Eparchy of Mukachevo"/>
        <s v="Subsistence aid for 15 cloistered Benedictine nuns in Zhytomyr for 2025"/>
        <s v="Formation for 11 Novices (5 second year and 6 first year) and 11 Juniorate Sisters of Atmadhara and Jeevadhara Region of the Holy Spirit Sisters in the Opus Spiritus Sancti (OSS), India  (2025 - 2026)"/>
        <s v="Emergency aid for 46 priests and 11 sisters of the Odesa Exarchate for 2025"/>
        <s v="(ORT) Tuition Fees Support for 1300 students attending 7 schools belonging to the Greek Orthodox Archdiocese of  Damascus - academic year 2024/ 2025"/>
        <s v="Medical aid for 3000 sick Christian people organised by the Jesuit congregation - (Homs, May 2024 - April 2025)."/>
        <s v="Further assistance towards the renovation of St Barbara Kindergarten - Karemless (co-financing)"/>
      </sharedItems>
    </cacheField>
    <cacheField name="USD" numFmtId="166">
      <sharedItems containsSemiMixedTypes="0" containsString="0" containsNumber="1" minValue="3300.0000000000005" maxValue="330000" count="48">
        <n v="44000"/>
        <n v="82500"/>
        <n v="112200.00000000001"/>
        <n v="11000"/>
        <n v="13200.000000000002"/>
        <n v="25300.000000000004"/>
        <n v="73700"/>
        <n v="3300.0000000000005"/>
        <n v="30000"/>
        <n v="28600.000000000004"/>
        <n v="15180.000000000002"/>
        <n v="75000"/>
        <n v="300000"/>
        <n v="22000"/>
        <n v="330000"/>
        <n v="63800"/>
        <n v="45600"/>
        <n v="16500"/>
        <n v="8800"/>
        <n v="13838.000000000002"/>
        <n v="20350"/>
        <n v="19800"/>
        <n v="83600"/>
        <n v="21230"/>
        <n v="18920"/>
        <n v="25708.837"/>
        <n v="13750.000000000002"/>
        <n v="25850.000000000004"/>
        <n v="38500"/>
        <n v="24750.000000000004"/>
        <n v="14300.000000000002"/>
        <n v="41250"/>
        <n v="18000"/>
        <n v="15000"/>
        <n v="20174"/>
        <n v="19360"/>
        <n v="100000"/>
        <n v="15950.000000000002"/>
        <n v="110000.00000000001"/>
        <n v="12100.000000000002"/>
        <n v="14850.000000000002"/>
        <n v="55000.000000000007"/>
        <n v="18600"/>
        <n v="33000"/>
        <n v="31350.000000000004"/>
        <n v="68200"/>
        <n v="49500.000000000007"/>
        <n v="24000"/>
      </sharedItems>
    </cacheField>
    <cacheField name="EUR                  2025 1,1" numFmtId="168">
      <sharedItems containsSemiMixedTypes="0" containsString="0" containsNumber="1" minValue="3000" maxValue="3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  <x v="0"/>
    <s v="CENTRAL AFRICAN REPUBLIC"/>
    <n v="2301884"/>
    <s v="Archidiocèse de Bangui"/>
    <x v="0"/>
    <x v="0"/>
    <n v="40000"/>
  </r>
  <r>
    <x v="1"/>
    <x v="1"/>
    <s v="NIGERIA"/>
    <n v="2305832"/>
    <s v="Radio Maria Nigeria"/>
    <x v="1"/>
    <x v="0"/>
    <n v="40000"/>
  </r>
  <r>
    <x v="2"/>
    <x v="2"/>
    <s v="TANZANIA"/>
    <n v="2308332"/>
    <s v="Missionaries of St Francis de Sales (MSFS)_x000a_(Fransalians)"/>
    <x v="2"/>
    <x v="1"/>
    <n v="75000"/>
  </r>
  <r>
    <x v="3"/>
    <x v="3"/>
    <s v="SYRIA"/>
    <n v="2401354"/>
    <s v="Archidiocèse Grec-Melkite (Greek Melchite) Catholique de Homs, Hama et Yabroud (MLC)"/>
    <x v="3"/>
    <x v="2"/>
    <n v="102000"/>
  </r>
  <r>
    <x v="4"/>
    <x v="4"/>
    <s v="DEM.REP. CONGO"/>
    <n v="2402422"/>
    <s v="Diocèse de Mweka"/>
    <x v="4"/>
    <x v="3"/>
    <n v="10000"/>
  </r>
  <r>
    <x v="4"/>
    <x v="4"/>
    <s v="KENYA"/>
    <n v="2402805"/>
    <s v="Diocese of Kitui"/>
    <x v="5"/>
    <x v="4"/>
    <n v="12000"/>
  </r>
  <r>
    <x v="5"/>
    <x v="5"/>
    <s v="NAMIBIA"/>
    <n v="2403879"/>
    <s v="St Charles Lwanga Major Seminary"/>
    <x v="6"/>
    <x v="3"/>
    <n v="10000"/>
  </r>
  <r>
    <x v="6"/>
    <x v="6"/>
    <s v="TANZANIA"/>
    <n v="2403893"/>
    <s v="Diocese of Kigoma (EPO 2025 priority Diocese)"/>
    <x v="7"/>
    <x v="5"/>
    <n v="23000"/>
  </r>
  <r>
    <x v="2"/>
    <x v="2"/>
    <s v="PAKISTAN"/>
    <n v="2403966"/>
    <s v="Catholic Archdiocese of Karachi"/>
    <x v="8"/>
    <x v="6"/>
    <n v="67000"/>
  </r>
  <r>
    <x v="1"/>
    <x v="1"/>
    <s v="PAKISTAN"/>
    <n v="2404726"/>
    <s v="Ibn-e-Mariam Vice Province Pakistan - _x000a_Dominican Order (OP)"/>
    <x v="9"/>
    <x v="4"/>
    <n v="12000"/>
  </r>
  <r>
    <x v="2"/>
    <x v="2"/>
    <s v="TANZANIA"/>
    <n v="2404787"/>
    <s v="The Society of the Divine Savior (SDS)_x000a_Salvatorian Fathers and Brothers"/>
    <x v="10"/>
    <x v="7"/>
    <n v="3000"/>
  </r>
  <r>
    <x v="2"/>
    <x v="2"/>
    <s v="ZIMBABWE"/>
    <n v="2405253"/>
    <s v="Missionary Oblates of Mary Immaculate (OMI)"/>
    <x v="11"/>
    <x v="8"/>
    <n v="27272.727272727272"/>
  </r>
  <r>
    <x v="0"/>
    <x v="0"/>
    <s v="MOZAMBIQUE"/>
    <n v="2405335"/>
    <s v="Congregação das Irmãs da Imaculada Conceição (IIC)"/>
    <x v="12"/>
    <x v="9"/>
    <n v="26000"/>
  </r>
  <r>
    <x v="7"/>
    <x v="7"/>
    <s v="BURUNDI"/>
    <n v="2405395"/>
    <s v="Soeurs Visitandines"/>
    <x v="13"/>
    <x v="10"/>
    <n v="13800"/>
  </r>
  <r>
    <x v="3"/>
    <x v="3"/>
    <s v="SYRIA"/>
    <n v="2405625"/>
    <s v="Greek Orthodox  Archdiocese of  Lattakia -  Greek Orthodox  Patriarchate of Antioch and All the East"/>
    <x v="14"/>
    <x v="11"/>
    <n v="67567.570000000007"/>
  </r>
  <r>
    <x v="3"/>
    <x v="3"/>
    <s v="SYRIA"/>
    <n v="2406000"/>
    <s v="Greek Melkite (Melchite) Catholic Patriarchate of Antioche &amp; All the East of Alexandria  &amp; of Jerusalem (MLC)"/>
    <x v="15"/>
    <x v="12"/>
    <n v="272727.27272727271"/>
  </r>
  <r>
    <x v="6"/>
    <x v="6"/>
    <s v="PHILIPPINES"/>
    <n v="2407037"/>
    <s v="Silsilah Dialogue Movement"/>
    <x v="16"/>
    <x v="13"/>
    <n v="20000"/>
  </r>
  <r>
    <x v="3"/>
    <x v="3"/>
    <s v="LEBANON"/>
    <n v="2407406"/>
    <s v="Assembly of Catholic Patriarchs and Bishops - A.P.E.C.L. (Assemblée des Patriarches et des Evêques-Bishops' Conference)"/>
    <x v="17"/>
    <x v="14"/>
    <n v="300000"/>
  </r>
  <r>
    <x v="3"/>
    <x v="3"/>
    <s v="SYRIA"/>
    <n v="2407465"/>
    <s v="Prelate of Armenian Orthodox - Aleppo _x000a_(Prélature/Prelacy Arménienne Orthodox d'Alep)"/>
    <x v="18"/>
    <x v="15"/>
    <n v="57477.48"/>
  </r>
  <r>
    <x v="3"/>
    <x v="3"/>
    <s v="SYRIA"/>
    <n v="2407641"/>
    <s v="Greek Orthodox Archdioceses of Homs - Patriarchate of Antioch and all the East (Larissa)"/>
    <x v="19"/>
    <x v="16"/>
    <n v="41081.08"/>
  </r>
  <r>
    <x v="4"/>
    <x v="4"/>
    <s v="ZAMBIA"/>
    <n v="2407913"/>
    <s v="Diocese of Mansa"/>
    <x v="20"/>
    <x v="17"/>
    <n v="15000"/>
  </r>
  <r>
    <x v="4"/>
    <x v="4"/>
    <s v="NIGERIA"/>
    <n v="2407924"/>
    <s v="Catholic Diocese of Osogbo"/>
    <x v="21"/>
    <x v="18"/>
    <n v="8000"/>
  </r>
  <r>
    <x v="4"/>
    <x v="4"/>
    <s v="RWANDA"/>
    <n v="2407983"/>
    <s v="Diocèse de Gikongoro"/>
    <x v="22"/>
    <x v="19"/>
    <n v="12580"/>
  </r>
  <r>
    <x v="4"/>
    <x v="4"/>
    <s v="MADAGASCAR"/>
    <n v="2408067"/>
    <s v="Congrégation de la Mission - Lazaristes - Madagascar"/>
    <x v="23"/>
    <x v="20"/>
    <n v="18500"/>
  </r>
  <r>
    <x v="7"/>
    <x v="7"/>
    <s v="BURKINA FASO"/>
    <n v="2501113"/>
    <s v="Soeurs de Notre-Dame du Lac Bam"/>
    <x v="24"/>
    <x v="13"/>
    <n v="20000"/>
  </r>
  <r>
    <x v="2"/>
    <x v="2"/>
    <s v="INDIA"/>
    <n v="2501117"/>
    <s v="Diocese of Bettiah"/>
    <x v="25"/>
    <x v="0"/>
    <n v="40000"/>
  </r>
  <r>
    <x v="4"/>
    <x v="4"/>
    <s v="VANUATU"/>
    <n v="2501286"/>
    <s v="Diocese of Port-Vila"/>
    <x v="26"/>
    <x v="21"/>
    <n v="18000"/>
  </r>
  <r>
    <x v="7"/>
    <x v="7"/>
    <s v="UKRAINE"/>
    <n v="2501315"/>
    <s v="Kharkivsko-Zaporizka Dietseziya"/>
    <x v="27"/>
    <x v="22"/>
    <n v="76000"/>
  </r>
  <r>
    <x v="0"/>
    <x v="0"/>
    <s v="PAKISTAN"/>
    <n v="2501321"/>
    <s v="Catholic Archdiocese of Karachi"/>
    <x v="28"/>
    <x v="23"/>
    <n v="19300"/>
  </r>
  <r>
    <x v="4"/>
    <x v="4"/>
    <s v="MADAGASCAR"/>
    <n v="2501413"/>
    <s v="Archidiocèse de Fianarantsoa"/>
    <x v="29"/>
    <x v="24"/>
    <n v="17200"/>
  </r>
  <r>
    <x v="4"/>
    <x v="4"/>
    <s v="KENYA"/>
    <n v="2501470"/>
    <s v="Diocese of Eldoret"/>
    <x v="30"/>
    <x v="3"/>
    <n v="10000"/>
  </r>
  <r>
    <x v="0"/>
    <x v="0"/>
    <s v="BENIN"/>
    <n v="2501571"/>
    <s v="Institut des Pauvres Filles de la Visitation de Marie"/>
    <x v="31"/>
    <x v="25"/>
    <n v="23371.67"/>
  </r>
  <r>
    <x v="4"/>
    <x v="4"/>
    <s v="CAMEROON"/>
    <n v="2501576"/>
    <s v="Diocese of Kumbo"/>
    <x v="32"/>
    <x v="26"/>
    <n v="12500"/>
  </r>
  <r>
    <x v="7"/>
    <x v="7"/>
    <s v="BURUNDI"/>
    <n v="2502251"/>
    <s v="Soeurs Visitandines"/>
    <x v="33"/>
    <x v="3"/>
    <n v="10000"/>
  </r>
  <r>
    <x v="6"/>
    <x v="6"/>
    <s v="LEBANON"/>
    <n v="2502352"/>
    <s v="Assembly of Catholic Patriarchs and Bishops - A.P.E.C.L. (Assemblée des Patriarches et des Evêques-Bishops' Conference)"/>
    <x v="34"/>
    <x v="8"/>
    <n v="27027.03"/>
  </r>
  <r>
    <x v="0"/>
    <x v="0"/>
    <s v="BENIN"/>
    <n v="2502395"/>
    <s v="Soeurs Missionnaires de Sainte Thérèse de l'Enfant Jésus"/>
    <x v="35"/>
    <x v="27"/>
    <n v="23500"/>
  </r>
  <r>
    <x v="6"/>
    <x v="6"/>
    <s v="MOZAMBIQUE"/>
    <n v="2502536"/>
    <s v="Diocese de Pemba"/>
    <x v="36"/>
    <x v="28"/>
    <n v="35000"/>
  </r>
  <r>
    <x v="3"/>
    <x v="3"/>
    <s v="PAKISTAN"/>
    <n v="2502538"/>
    <s v="La Salle Brothers Pakistan, FSC"/>
    <x v="37"/>
    <x v="29"/>
    <n v="22500"/>
  </r>
  <r>
    <x v="7"/>
    <x v="7"/>
    <s v="BURUNDI"/>
    <n v="2502585"/>
    <s v="Soeurs Adoratrices de la Sainte Trinité_x000a_Monastère Marie Reine de la Paix"/>
    <x v="38"/>
    <x v="30"/>
    <n v="13000"/>
  </r>
  <r>
    <x v="7"/>
    <x v="7"/>
    <s v="DEM.REP. CONGO"/>
    <n v="2502596"/>
    <s v="Monastère du Carmel du Saint Enfant Jésus de Malole (Moniales Carmélites Déchaussées)"/>
    <x v="39"/>
    <x v="3"/>
    <n v="10000"/>
  </r>
  <r>
    <x v="6"/>
    <x v="6"/>
    <s v="PALESTINE"/>
    <n v="2502649"/>
    <s v="Latin Patriarchate  - Jerusalem (LPJ) (for Israel, Palestine, Jordan, Cyprus)"/>
    <x v="40"/>
    <x v="31"/>
    <n v="37500"/>
  </r>
  <r>
    <x v="4"/>
    <x v="4"/>
    <s v="PERU"/>
    <n v="2502760"/>
    <s v="Arzobispado de Huancayo"/>
    <x v="41"/>
    <x v="32"/>
    <n v="16216.22"/>
  </r>
  <r>
    <x v="4"/>
    <x v="4"/>
    <s v="BOLIVIA"/>
    <n v="2502763"/>
    <s v="Comunidad Misionera de Cristo Pastor"/>
    <x v="42"/>
    <x v="33"/>
    <n v="13513.51"/>
  </r>
  <r>
    <x v="7"/>
    <x v="7"/>
    <s v="MALI"/>
    <n v="2502836"/>
    <s v="Diocèse de Segou"/>
    <x v="43"/>
    <x v="34"/>
    <n v="18340"/>
  </r>
  <r>
    <x v="4"/>
    <x v="4"/>
    <s v="MADAGASCAR"/>
    <n v="2502888"/>
    <s v="Diocèse de Tolagnaro"/>
    <x v="44"/>
    <x v="35"/>
    <n v="17600"/>
  </r>
  <r>
    <x v="3"/>
    <x v="3"/>
    <s v="LEBANON"/>
    <n v="2502914"/>
    <s v="Congregation des Soeurs de Saint Joseph de Lyon (Liban)"/>
    <x v="45"/>
    <x v="36"/>
    <n v="90090.09"/>
  </r>
  <r>
    <x v="4"/>
    <x v="4"/>
    <s v="PAKISTAN"/>
    <n v="2502930"/>
    <s v="La Salle Brothers Pakistan, FSC"/>
    <x v="46"/>
    <x v="37"/>
    <n v="14500"/>
  </r>
  <r>
    <x v="4"/>
    <x v="4"/>
    <s v="NIGERIA"/>
    <n v="2502941"/>
    <s v="Sisters of St. Michael the Archangel (SSMA)"/>
    <x v="47"/>
    <x v="3"/>
    <n v="10000"/>
  </r>
  <r>
    <x v="7"/>
    <x v="7"/>
    <s v="UKRAINE"/>
    <n v="2502960"/>
    <s v="Kyivska Arkhyeparkhiya"/>
    <x v="48"/>
    <x v="28"/>
    <n v="35000"/>
  </r>
  <r>
    <x v="3"/>
    <x v="3"/>
    <s v="SYRIA"/>
    <n v="2503016"/>
    <s v="Diocèse d'Alep des Chaldéens (Aleppo and all Syria - CLD)"/>
    <x v="49"/>
    <x v="38"/>
    <n v="100000"/>
  </r>
  <r>
    <x v="7"/>
    <x v="7"/>
    <s v="UKRAINE"/>
    <n v="2503124"/>
    <s v="Sluzhebnytsi Hospoda ta Divy Mariyi z Matara"/>
    <x v="50"/>
    <x v="39"/>
    <n v="11000"/>
  </r>
  <r>
    <x v="2"/>
    <x v="2"/>
    <s v="PAKISTAN"/>
    <n v="2503366"/>
    <s v="Good Shepherd Convent _x000a_Diocese of Multan"/>
    <x v="51"/>
    <x v="40"/>
    <n v="13500"/>
  </r>
  <r>
    <x v="6"/>
    <x v="6"/>
    <s v="UKRAINE"/>
    <n v="2503492"/>
    <s v="Kyivsko-Zhytomyrska Dietseziya"/>
    <x v="52"/>
    <x v="41"/>
    <n v="50000"/>
  </r>
  <r>
    <x v="7"/>
    <x v="7"/>
    <s v="UKRAINE"/>
    <n v="2503529"/>
    <s v="Odesko-Simferopolska Dietseziya"/>
    <x v="53"/>
    <x v="17"/>
    <n v="15000"/>
  </r>
  <r>
    <x v="7"/>
    <x v="7"/>
    <s v="UKRAINE"/>
    <n v="2503721"/>
    <s v="Sister Servants of Mary Immaculate"/>
    <x v="54"/>
    <x v="3"/>
    <n v="10000"/>
  </r>
  <r>
    <x v="4"/>
    <x v="4"/>
    <s v="PERU"/>
    <n v="2503835"/>
    <s v="Seminario Diocesano Corazón de Cristo"/>
    <x v="55"/>
    <x v="42"/>
    <n v="16756.759999999998"/>
  </r>
  <r>
    <x v="4"/>
    <x v="4"/>
    <s v="PHILIPPINES"/>
    <n v="2503914"/>
    <s v="Emmaus Dialogue Community Inc."/>
    <x v="56"/>
    <x v="3"/>
    <n v="10000"/>
  </r>
  <r>
    <x v="0"/>
    <x v="0"/>
    <s v="UKRAINE"/>
    <n v="2504085"/>
    <s v="Mukachivska Eparkhiya"/>
    <x v="57"/>
    <x v="43"/>
    <n v="30000"/>
  </r>
  <r>
    <x v="7"/>
    <x v="7"/>
    <s v="UKRAINE"/>
    <n v="2504091"/>
    <s v="Abatstvo sester BENEDYKTYNEK              _x000a_Neporochnoho Zachattya PDM"/>
    <x v="58"/>
    <x v="17"/>
    <n v="15000"/>
  </r>
  <r>
    <x v="4"/>
    <x v="4"/>
    <s v="INDIA"/>
    <n v="2504487"/>
    <s v="Holy Spirit Sisters, OSS  _x000a_Atmadhara Region"/>
    <x v="59"/>
    <x v="3"/>
    <n v="10000"/>
  </r>
  <r>
    <x v="7"/>
    <x v="7"/>
    <s v="UKRAINE"/>
    <n v="2504727"/>
    <s v="ODESKYI EKZARKHAT"/>
    <x v="60"/>
    <x v="44"/>
    <n v="28500"/>
  </r>
  <r>
    <x v="3"/>
    <x v="3"/>
    <s v="SYRIA"/>
    <n v="2404812"/>
    <s v="Greek Orthodox Archdioceses of Damascus &amp; Homs - Patriarchate of Antioch and all the East (Larissa)"/>
    <x v="61"/>
    <x v="45"/>
    <n v="62000"/>
  </r>
  <r>
    <x v="3"/>
    <x v="3"/>
    <s v="SYRIA"/>
    <n v="2400620"/>
    <s v="Compagnie de Jésus au Proche-Orient  _x000a_Jesuit Fathers"/>
    <x v="62"/>
    <x v="46"/>
    <n v="45000"/>
  </r>
  <r>
    <x v="3"/>
    <x v="3"/>
    <s v="IRAQ"/>
    <n v="2405331"/>
    <s v="Chaldean Archdiocese of Mosul (Mossul CLD)"/>
    <x v="63"/>
    <x v="47"/>
    <n v="21621.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0349DE-90CB-4E25-90BD-5C3C0FF874F1}" name="PivotTable1" cacheId="1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J4:K14" firstHeaderRow="2" firstDataRow="2" firstDataCol="1"/>
  <pivotFields count="8">
    <pivotField compact="0" outline="0" showAll="0" sortType="ascending">
      <items count="9">
        <item x="2"/>
        <item x="0"/>
        <item x="7"/>
        <item x="6"/>
        <item x="3"/>
        <item x="1"/>
        <item x="4"/>
        <item x="5"/>
        <item t="default"/>
      </items>
    </pivotField>
    <pivotField axis="axisRow" compact="0" outline="0" showAll="0">
      <items count="9">
        <item x="2"/>
        <item x="3"/>
        <item x="1"/>
        <item x="6"/>
        <item x="5"/>
        <item x="7"/>
        <item x="4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65">
        <item h="1" x="18"/>
        <item h="1" x="19"/>
        <item h="1" x="14"/>
        <item h="1" x="61"/>
        <item h="1" x="34"/>
        <item h="1" x="3"/>
        <item h="1" x="47"/>
        <item h="1" x="57"/>
        <item h="1" x="45"/>
        <item x="8"/>
        <item x="25"/>
        <item x="11"/>
        <item h="1" x="7"/>
        <item h="1" x="53"/>
        <item h="1" x="60"/>
        <item h="1" x="27"/>
        <item h="1" x="17"/>
        <item h="1" x="1"/>
        <item h="1" x="24"/>
        <item h="1" x="39"/>
        <item h="1" x="43"/>
        <item h="1" x="33"/>
        <item h="1" x="38"/>
        <item h="1" x="13"/>
        <item h="1" x="4"/>
        <item h="1" x="22"/>
        <item h="1" x="59"/>
        <item h="1" x="5"/>
        <item h="1" x="55"/>
        <item h="1" x="41"/>
        <item h="1" x="20"/>
        <item h="1" x="44"/>
        <item h="1" x="21"/>
        <item h="1" x="23"/>
        <item h="1" x="46"/>
        <item h="1" x="29"/>
        <item h="1" x="2"/>
        <item h="1" x="63"/>
        <item h="1" x="52"/>
        <item h="1" x="0"/>
        <item h="1" x="37"/>
        <item h="1" x="9"/>
        <item h="1" x="49"/>
        <item h="1" x="62"/>
        <item h="1" x="32"/>
        <item h="1" x="30"/>
        <item h="1" x="56"/>
        <item h="1" x="42"/>
        <item h="1" x="40"/>
        <item h="1" x="51"/>
        <item h="1" x="36"/>
        <item h="1" x="54"/>
        <item h="1" x="50"/>
        <item h="1" x="58"/>
        <item h="1" x="48"/>
        <item h="1" x="15"/>
        <item h="1" x="6"/>
        <item h="1" x="35"/>
        <item h="1" x="26"/>
        <item h="1" x="28"/>
        <item h="1" x="16"/>
        <item h="1" x="12"/>
        <item h="1" x="31"/>
        <item h="1" x="10"/>
        <item t="default"/>
      </items>
    </pivotField>
    <pivotField dataField="1" compact="0" numFmtId="166" outline="0" showAll="0">
      <items count="49">
        <item x="7"/>
        <item x="18"/>
        <item x="3"/>
        <item x="39"/>
        <item x="4"/>
        <item x="26"/>
        <item x="19"/>
        <item x="30"/>
        <item x="40"/>
        <item x="33"/>
        <item x="10"/>
        <item x="37"/>
        <item x="17"/>
        <item x="32"/>
        <item x="42"/>
        <item x="24"/>
        <item x="35"/>
        <item x="21"/>
        <item x="34"/>
        <item x="20"/>
        <item x="23"/>
        <item x="13"/>
        <item x="47"/>
        <item x="29"/>
        <item x="5"/>
        <item x="25"/>
        <item x="27"/>
        <item x="9"/>
        <item x="8"/>
        <item x="44"/>
        <item x="43"/>
        <item x="28"/>
        <item x="31"/>
        <item x="0"/>
        <item x="16"/>
        <item x="46"/>
        <item x="41"/>
        <item x="15"/>
        <item x="45"/>
        <item x="6"/>
        <item x="11"/>
        <item x="1"/>
        <item x="22"/>
        <item x="36"/>
        <item x="38"/>
        <item x="2"/>
        <item x="12"/>
        <item x="14"/>
        <item t="default"/>
      </items>
    </pivotField>
    <pivotField compact="0" numFmtId="168" outline="0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USD" fld="6" baseField="0" baseItem="0" numFmtId="166"/>
  </dataFields>
  <formats count="2">
    <format dxfId="105">
      <pivotArea field="1" type="button" dataOnly="0" labelOnly="1" outline="0" axis="axisRow" fieldPosition="0"/>
    </format>
    <format dxfId="10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982F35-3B29-4A35-8CB7-CB0599303576}" name="Table6" displayName="Table6" ref="A3:H5" totalsRowShown="0">
  <autoFilter ref="A3:H5" xr:uid="{FE982F35-3B29-4A35-8CB7-CB0599303576}"/>
  <tableColumns count="8">
    <tableColumn id="1" xr3:uid="{9D37ED6B-0AF3-4CD0-8EFB-58B3B988D503}" name="Fund ID"/>
    <tableColumn id="2" xr3:uid="{41F806B0-EB36-48C1-9C2A-E65CB70A5704}" name="Fund Description"/>
    <tableColumn id="3" xr3:uid="{9D3EED40-3703-44CB-8C16-1838442ECCED}" name="Country"/>
    <tableColumn id="4" xr3:uid="{A4443395-D06A-4CF0-980B-9F3C3FD9C462}" name="PrID"/>
    <tableColumn id="5" xr3:uid="{839BE3DF-A187-4576-ABED-56EE29B8BCE3}" name="Institution" dataDxfId="3"/>
    <tableColumn id="6" xr3:uid="{015AFBC3-E22C-493E-8A42-AB1B8A5BEAE2}" name="Project Description" dataDxfId="2"/>
    <tableColumn id="7" xr3:uid="{4575165F-E403-4674-8E5D-26A75AF4E5B0}" name="USD" dataDxfId="1" dataCellStyle="Comma"/>
    <tableColumn id="8" xr3:uid="{67FD7215-75C9-44BF-B779-C4B0E35E6D82}" name="EUR                  2025 1,1" dataDxfId="0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D403E7-2452-4393-84B5-7AA58AC859A0}" name="Table1" displayName="Table1" ref="A3:H9" totalsRowShown="0">
  <autoFilter ref="A3:H9" xr:uid="{86D403E7-2452-4393-84B5-7AA58AC859A0}"/>
  <tableColumns count="8">
    <tableColumn id="1" xr3:uid="{06683CD2-52F4-4C96-98AD-C61A5B8F8AB8}" name="Fund ID"/>
    <tableColumn id="2" xr3:uid="{A42B549A-F874-4E00-80B7-4D7039320298}" name="Fund Description"/>
    <tableColumn id="3" xr3:uid="{5798565B-4E65-48B8-8C2C-DFB9936ED790}" name="Country"/>
    <tableColumn id="4" xr3:uid="{6EFD9FDB-2DDA-4441-8ED1-E3133AB00894}" name="PrID"/>
    <tableColumn id="5" xr3:uid="{724C2E47-FE75-4075-8D2A-1C76EFB497B8}" name="Institution"/>
    <tableColumn id="6" xr3:uid="{46051159-B90B-448B-9AD0-3DC790A539EC}" name="Project Description"/>
    <tableColumn id="7" xr3:uid="{94D873B6-7072-4530-AD21-F8D2981EA481}" name="USD"/>
    <tableColumn id="8" xr3:uid="{95C3AAC1-A0E9-4562-AAD6-9B43F8C51190}" name="EUR                  2025 1,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DD9807-9109-49F3-BB34-5A1E8D0012A4}" name="Table3" displayName="Table3" ref="A3:H9" totalsRowShown="0">
  <autoFilter ref="A3:H9" xr:uid="{71DD9807-9109-49F3-BB34-5A1E8D0012A4}"/>
  <tableColumns count="8">
    <tableColumn id="1" xr3:uid="{A3F25FC5-E2BF-48A7-A835-301AFFCF9705}" name="Fund ID"/>
    <tableColumn id="2" xr3:uid="{B5C8E6E5-9E6E-4D66-B751-19C13EC6AB33}" name="Fund Description"/>
    <tableColumn id="3" xr3:uid="{E34C54BF-35A0-4D4D-BC00-1B6A6CC06DA3}" name="Country"/>
    <tableColumn id="4" xr3:uid="{29AB0736-6066-4C0C-84DB-BC0198F3DD9C}" name="PrID"/>
    <tableColumn id="5" xr3:uid="{55B1952A-0D26-4E3E-9EDF-C883A3657B5A}" name="Institution" dataDxfId="27"/>
    <tableColumn id="6" xr3:uid="{F7524CB7-157C-4578-B302-11D5F1BD0B82}" name="Project Description" dataDxfId="26"/>
    <tableColumn id="7" xr3:uid="{6AF556B5-147E-4DA0-AF8C-700D8A9B1C07}" name="USD" dataDxfId="25" dataCellStyle="Comma"/>
    <tableColumn id="8" xr3:uid="{2FB22F7F-FEF8-49A1-9253-C62CB5812DF4}" name="EUR                  2025 1,1" dataDxfId="24" dataCellStyle="Comm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EDCE9D-8B65-439E-924E-017D5D68B94F}" name="Table4" displayName="Table4" ref="A3:H16" totalsRowShown="0" headerRowDxfId="15" dataDxfId="14">
  <autoFilter ref="A3:H16" xr:uid="{F9EDCE9D-8B65-439E-924E-017D5D68B94F}"/>
  <tableColumns count="8">
    <tableColumn id="1" xr3:uid="{54F4FCE8-2B20-48A4-9ED6-528CD275418E}" name="Fund ID" dataDxfId="23"/>
    <tableColumn id="2" xr3:uid="{9A291B42-F481-4E8F-A001-F69BCF59CEF4}" name="Fund Description" dataDxfId="22"/>
    <tableColumn id="3" xr3:uid="{8E0AF976-4F9D-4CC2-9424-CA20FC0A2710}" name="Country" dataDxfId="21"/>
    <tableColumn id="4" xr3:uid="{C3B59675-7557-4E65-8A81-34B41434F648}" name="PrID" dataDxfId="20"/>
    <tableColumn id="5" xr3:uid="{92EF0DAC-894E-4CB7-A712-7B86C8B67F01}" name="Institution" dataDxfId="19"/>
    <tableColumn id="6" xr3:uid="{69F1E1C9-B43B-4D36-8204-8885608A911C}" name="Project Description" dataDxfId="18"/>
    <tableColumn id="7" xr3:uid="{BA1EF262-A1AA-4964-ACAC-1F55F77BA339}" name="USD" dataDxfId="17" dataCellStyle="Comma"/>
    <tableColumn id="8" xr3:uid="{5292A5CE-2C11-4411-9D44-A10FF0428FF9}" name="EUR                  2025 1,1" dataDxfId="16" dataCellStyle="Com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8345FA-CB04-4313-8D94-892242DDB7F7}" name="Table5" displayName="Table5" ref="A3:H9" totalsRowShown="0" headerRowDxfId="8" dataDxfId="7">
  <autoFilter ref="A3:H9" xr:uid="{C08345FA-CB04-4313-8D94-892242DDB7F7}"/>
  <tableColumns count="8">
    <tableColumn id="1" xr3:uid="{02FEDD19-3BFB-46FD-B41B-B9693C5AA45D}" name="Fund ID" dataDxfId="13"/>
    <tableColumn id="2" xr3:uid="{74F613FA-3D1F-4165-9CC4-5B743594DA6D}" name="Fund Description" dataDxfId="12"/>
    <tableColumn id="3" xr3:uid="{2714DB25-1959-466D-A017-AE57C3ADDD1E}" name="Country" dataDxfId="11"/>
    <tableColumn id="4" xr3:uid="{C80E1AD3-8417-4BA3-B57A-2854DFBDB126}" name="PrID" dataDxfId="10"/>
    <tableColumn id="5" xr3:uid="{968D4109-9736-45B1-B324-E3282C958B9A}" name="Institution" dataDxfId="9"/>
    <tableColumn id="6" xr3:uid="{7712181C-F872-4F39-BB9C-B686019C325D}" name="Project Description" dataDxfId="6"/>
    <tableColumn id="7" xr3:uid="{569E8076-91F2-42AB-B079-F0320EAA11D1}" name="USD" dataDxfId="5" dataCellStyle="Comma"/>
    <tableColumn id="8" xr3:uid="{1B0E810A-745B-4DE9-9704-AC0C3C68E450}" name="EUR                  2025 1,1" dataDxfId="4" dataCellStyle="Comm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FDCC9D-FE60-4F0F-A0CF-1EF60A512E0D}" name="Table2" displayName="Table2" ref="A3:H15" totalsRowShown="0" headerRowDxfId="32" dataDxfId="31">
  <autoFilter ref="A3:H15" xr:uid="{E9FDCC9D-FE60-4F0F-A0CF-1EF60A512E0D}"/>
  <tableColumns count="8">
    <tableColumn id="1" xr3:uid="{357A5159-B2EA-487F-90C9-BD2AD2579631}" name="Fund ID" dataDxfId="37"/>
    <tableColumn id="2" xr3:uid="{EFBA01CF-C754-4B51-AE8E-77A1DA155BC6}" name="Fund Description" dataDxfId="36"/>
    <tableColumn id="3" xr3:uid="{4D51D98C-18C4-43E4-939D-552830DA644D}" name="Country" dataDxfId="35"/>
    <tableColumn id="4" xr3:uid="{7ABD0CC0-6D22-4CC4-914B-37A51EECBD1D}" name="PrID" dataDxfId="34"/>
    <tableColumn id="5" xr3:uid="{F6AC3BF8-8AE7-448B-9173-D862C8750B39}" name="Institution" dataDxfId="33"/>
    <tableColumn id="6" xr3:uid="{686A985A-2691-4015-80DB-7A4F9B205A2C}" name="Project Description" dataDxfId="30"/>
    <tableColumn id="7" xr3:uid="{24B6DE27-3188-4015-BE1F-302B6049043A}" name="USD" dataDxfId="29" dataCellStyle="Comma"/>
    <tableColumn id="8" xr3:uid="{F1E7CF39-9CE8-4B00-8F22-2B8A5CA1662F}" name="EUR                  2025 1,1" dataDxfId="28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DEB20-EC25-4211-91D1-6FF1D2034E47}">
  <dimension ref="A1:H5"/>
  <sheetViews>
    <sheetView tabSelected="1" workbookViewId="0">
      <selection activeCell="F4" sqref="F4"/>
    </sheetView>
  </sheetViews>
  <sheetFormatPr defaultRowHeight="15" x14ac:dyDescent="0.25"/>
  <cols>
    <col min="1" max="1" width="10" bestFit="1" customWidth="1"/>
    <col min="2" max="2" width="18.42578125" bestFit="1" customWidth="1"/>
    <col min="3" max="3" width="10.28515625" bestFit="1" customWidth="1"/>
    <col min="4" max="4" width="9.28515625" bestFit="1" customWidth="1"/>
    <col min="5" max="6" width="36.7109375" style="63" customWidth="1"/>
    <col min="7" max="8" width="12" style="69" customWidth="1"/>
  </cols>
  <sheetData>
    <row r="1" spans="1:8" x14ac:dyDescent="0.25">
      <c r="A1" s="64" t="s">
        <v>265</v>
      </c>
    </row>
    <row r="3" spans="1:8" x14ac:dyDescent="0.25">
      <c r="A3" t="s">
        <v>20</v>
      </c>
      <c r="B3" t="s">
        <v>217</v>
      </c>
      <c r="C3" t="s">
        <v>19</v>
      </c>
      <c r="D3" t="s">
        <v>15</v>
      </c>
      <c r="E3" s="63" t="s">
        <v>16</v>
      </c>
      <c r="F3" s="63" t="s">
        <v>27</v>
      </c>
      <c r="G3" s="69" t="s">
        <v>18</v>
      </c>
      <c r="H3" s="69" t="s">
        <v>220</v>
      </c>
    </row>
    <row r="4" spans="1:8" ht="45" x14ac:dyDescent="0.25">
      <c r="A4">
        <v>69</v>
      </c>
      <c r="B4" t="s">
        <v>218</v>
      </c>
      <c r="C4" t="s">
        <v>116</v>
      </c>
      <c r="D4">
        <v>2404726</v>
      </c>
      <c r="E4" s="63" t="s">
        <v>117</v>
      </c>
      <c r="F4" s="63" t="s">
        <v>118</v>
      </c>
      <c r="G4" s="69">
        <v>13200.000000000002</v>
      </c>
      <c r="H4" s="69">
        <v>12000</v>
      </c>
    </row>
    <row r="5" spans="1:8" ht="30" x14ac:dyDescent="0.25">
      <c r="A5">
        <v>69</v>
      </c>
      <c r="B5" t="s">
        <v>218</v>
      </c>
      <c r="C5" t="s">
        <v>67</v>
      </c>
      <c r="D5">
        <v>2305832</v>
      </c>
      <c r="E5" s="63" t="s">
        <v>154</v>
      </c>
      <c r="F5" s="63" t="s">
        <v>155</v>
      </c>
      <c r="G5" s="69">
        <v>44000</v>
      </c>
      <c r="H5" s="69">
        <v>40000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4DFBD-7CA0-4A28-B409-D9790D63F2E8}">
  <dimension ref="A1:BG78"/>
  <sheetViews>
    <sheetView workbookViewId="0">
      <selection activeCell="K8" sqref="K8"/>
    </sheetView>
  </sheetViews>
  <sheetFormatPr defaultColWidth="11.42578125" defaultRowHeight="15.75" x14ac:dyDescent="0.25"/>
  <cols>
    <col min="1" max="1" width="36.7109375" style="18" bestFit="1" customWidth="1"/>
    <col min="2" max="2" width="8.85546875" style="28" bestFit="1" customWidth="1"/>
    <col min="3" max="3" width="21" style="22" bestFit="1" customWidth="1"/>
    <col min="4" max="4" width="2.7109375" style="22" customWidth="1"/>
    <col min="5" max="5" width="27.7109375" style="18" bestFit="1" customWidth="1"/>
    <col min="6" max="9" width="11.42578125" style="18"/>
    <col min="10" max="10" width="21" style="61" bestFit="1" customWidth="1"/>
    <col min="11" max="12" width="11.5703125" style="18" bestFit="1" customWidth="1"/>
    <col min="13" max="53" width="9" style="18" bestFit="1" customWidth="1"/>
    <col min="54" max="58" width="10" style="18" bestFit="1" customWidth="1"/>
    <col min="59" max="59" width="12.7109375" style="18" bestFit="1" customWidth="1"/>
    <col min="60" max="16384" width="11.42578125" style="18"/>
  </cols>
  <sheetData>
    <row r="1" spans="1:59" x14ac:dyDescent="0.25">
      <c r="A1" s="10" t="s">
        <v>35</v>
      </c>
      <c r="E1" s="55" t="s">
        <v>256</v>
      </c>
    </row>
    <row r="2" spans="1:59" x14ac:dyDescent="0.25">
      <c r="A2" s="11" t="s">
        <v>21</v>
      </c>
      <c r="B2" s="28" t="s">
        <v>20</v>
      </c>
    </row>
    <row r="3" spans="1:59" x14ac:dyDescent="0.25">
      <c r="A3" s="12"/>
      <c r="C3" s="18"/>
      <c r="D3" s="18"/>
    </row>
    <row r="4" spans="1:59" x14ac:dyDescent="0.25">
      <c r="A4" s="13" t="s">
        <v>34</v>
      </c>
      <c r="C4" s="18"/>
      <c r="D4" s="18"/>
      <c r="J4" s="59" t="s">
        <v>258</v>
      </c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</row>
    <row r="5" spans="1:59" x14ac:dyDescent="0.25">
      <c r="A5" s="14" t="s">
        <v>0</v>
      </c>
      <c r="B5" s="28">
        <v>19</v>
      </c>
      <c r="C5" s="22">
        <v>200000</v>
      </c>
      <c r="E5" s="22">
        <v>248350</v>
      </c>
      <c r="J5" s="62" t="s">
        <v>217</v>
      </c>
      <c r="K5" t="s">
        <v>259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</row>
    <row r="6" spans="1:59" x14ac:dyDescent="0.25">
      <c r="A6" s="14" t="s">
        <v>1</v>
      </c>
      <c r="B6" s="28">
        <v>29</v>
      </c>
      <c r="C6" s="22">
        <v>150000</v>
      </c>
      <c r="E6" s="22">
        <v>178389</v>
      </c>
      <c r="J6" t="s">
        <v>0</v>
      </c>
      <c r="K6" s="60">
        <v>248350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</row>
    <row r="7" spans="1:59" x14ac:dyDescent="0.25">
      <c r="A7" s="14" t="s">
        <v>3</v>
      </c>
      <c r="B7" s="28">
        <v>39</v>
      </c>
      <c r="C7" s="22">
        <v>300000</v>
      </c>
      <c r="E7" s="22">
        <v>303204</v>
      </c>
      <c r="J7" t="s">
        <v>37</v>
      </c>
      <c r="K7" s="60">
        <v>1303050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</row>
    <row r="8" spans="1:59" x14ac:dyDescent="0.25">
      <c r="A8" s="14" t="s">
        <v>5</v>
      </c>
      <c r="B8" s="28">
        <v>49</v>
      </c>
      <c r="C8" s="22">
        <v>200000</v>
      </c>
      <c r="E8" s="22">
        <v>212050</v>
      </c>
      <c r="J8" t="s">
        <v>218</v>
      </c>
      <c r="K8" s="60">
        <v>57200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</row>
    <row r="9" spans="1:59" x14ac:dyDescent="0.25">
      <c r="A9" s="14" t="s">
        <v>38</v>
      </c>
      <c r="B9" s="28">
        <v>69</v>
      </c>
      <c r="C9" s="22">
        <v>50000</v>
      </c>
      <c r="E9" s="22">
        <v>57200</v>
      </c>
      <c r="J9" t="s">
        <v>5</v>
      </c>
      <c r="K9" s="60">
        <v>212050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</row>
    <row r="10" spans="1:59" x14ac:dyDescent="0.25">
      <c r="A10" s="14" t="s">
        <v>7</v>
      </c>
      <c r="B10" s="28">
        <v>79</v>
      </c>
      <c r="C10" s="22">
        <v>200000</v>
      </c>
      <c r="E10" s="22">
        <v>267068</v>
      </c>
      <c r="J10" t="s">
        <v>219</v>
      </c>
      <c r="K10" s="60">
        <v>11000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</row>
    <row r="11" spans="1:59" x14ac:dyDescent="0.25">
      <c r="A11" s="14" t="s">
        <v>36</v>
      </c>
      <c r="B11" s="28">
        <v>89</v>
      </c>
      <c r="C11" s="22">
        <v>5000</v>
      </c>
      <c r="E11" s="22">
        <v>11000</v>
      </c>
      <c r="J11" t="s">
        <v>3</v>
      </c>
      <c r="K11" s="60">
        <v>303204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</row>
    <row r="12" spans="1:59" x14ac:dyDescent="0.25">
      <c r="A12" s="15" t="s">
        <v>37</v>
      </c>
      <c r="B12" s="28">
        <v>59</v>
      </c>
      <c r="C12" s="27">
        <v>1300000</v>
      </c>
      <c r="E12" s="57">
        <v>1303050</v>
      </c>
      <c r="F12" s="18" t="s">
        <v>257</v>
      </c>
      <c r="J12" t="s">
        <v>7</v>
      </c>
      <c r="K12" s="60">
        <v>267068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</row>
    <row r="13" spans="1:59" x14ac:dyDescent="0.25">
      <c r="A13" s="16" t="s">
        <v>32</v>
      </c>
      <c r="J13" t="s">
        <v>1</v>
      </c>
      <c r="K13" s="60">
        <v>178388.837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</row>
    <row r="14" spans="1:59" x14ac:dyDescent="0.25">
      <c r="A14" s="16" t="s">
        <v>23</v>
      </c>
      <c r="J14" s="63" t="s">
        <v>14</v>
      </c>
      <c r="K14" s="60">
        <v>2580310.8369999998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</row>
    <row r="15" spans="1:59" x14ac:dyDescent="0.25">
      <c r="A15" s="16" t="s">
        <v>6</v>
      </c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</row>
    <row r="16" spans="1:59" x14ac:dyDescent="0.25">
      <c r="A16" s="30" t="s">
        <v>6</v>
      </c>
      <c r="B16" s="31"/>
      <c r="C16" s="32"/>
      <c r="D16" s="32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</row>
    <row r="17" spans="1:59" x14ac:dyDescent="0.25">
      <c r="A17" s="16" t="s">
        <v>4</v>
      </c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</row>
    <row r="18" spans="1:59" x14ac:dyDescent="0.25">
      <c r="A18" s="16" t="s">
        <v>24</v>
      </c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</row>
    <row r="19" spans="1:59" x14ac:dyDescent="0.25">
      <c r="A19" s="16" t="s">
        <v>33</v>
      </c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</row>
    <row r="20" spans="1:59" x14ac:dyDescent="0.25">
      <c r="A20" s="16" t="s">
        <v>22</v>
      </c>
      <c r="F20" s="58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</row>
    <row r="21" spans="1:59" x14ac:dyDescent="0.25">
      <c r="A21" s="16" t="s">
        <v>2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</row>
    <row r="22" spans="1:59" x14ac:dyDescent="0.25">
      <c r="A22" s="14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</row>
    <row r="23" spans="1:59" x14ac:dyDescent="0.25">
      <c r="A23" s="17" t="s">
        <v>25</v>
      </c>
      <c r="C23" s="23">
        <f>SUM(C4:C21)</f>
        <v>2405000</v>
      </c>
      <c r="D23" s="24"/>
      <c r="E23" s="56">
        <f>SUM(E5:E12)</f>
        <v>2580311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</row>
    <row r="24" spans="1:59" x14ac:dyDescent="0.25"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</row>
    <row r="25" spans="1:59" x14ac:dyDescent="0.25">
      <c r="A25" s="19" t="s">
        <v>8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</row>
    <row r="26" spans="1:59" x14ac:dyDescent="0.25">
      <c r="A26" s="14" t="s">
        <v>9</v>
      </c>
      <c r="C26" s="22">
        <v>800000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</row>
    <row r="27" spans="1:59" x14ac:dyDescent="0.25">
      <c r="A27" s="14" t="s">
        <v>10</v>
      </c>
      <c r="C27" s="22">
        <v>12000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</row>
    <row r="28" spans="1:59" x14ac:dyDescent="0.25">
      <c r="A28" s="14" t="s">
        <v>11</v>
      </c>
      <c r="C28" s="22">
        <v>36000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</row>
    <row r="29" spans="1:59" x14ac:dyDescent="0.25">
      <c r="A29" s="14" t="s">
        <v>12</v>
      </c>
      <c r="C29" s="22">
        <v>60000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</row>
    <row r="30" spans="1:59" x14ac:dyDescent="0.25">
      <c r="A30" s="20" t="s">
        <v>13</v>
      </c>
      <c r="B30" s="29"/>
      <c r="C30" s="25">
        <f>SUM(C26:C29)</f>
        <v>908000</v>
      </c>
      <c r="D30" s="26"/>
      <c r="E30" s="57">
        <v>919970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</row>
    <row r="31" spans="1:59" x14ac:dyDescent="0.25">
      <c r="D31" s="24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</row>
    <row r="32" spans="1:59" x14ac:dyDescent="0.25">
      <c r="A32" s="21" t="s">
        <v>14</v>
      </c>
      <c r="C32" s="25">
        <f>C30+C23</f>
        <v>3313000</v>
      </c>
      <c r="D32" s="26"/>
      <c r="E32" s="56">
        <f>E23+E30</f>
        <v>3500281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</row>
    <row r="33" spans="10:59" x14ac:dyDescent="0.25"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</row>
    <row r="34" spans="10:59" x14ac:dyDescent="0.25"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</row>
    <row r="35" spans="10:59" x14ac:dyDescent="0.25"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</row>
    <row r="36" spans="10:59" x14ac:dyDescent="0.25"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</row>
    <row r="37" spans="10:59" x14ac:dyDescent="0.25"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</row>
    <row r="38" spans="10:59" x14ac:dyDescent="0.25"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</row>
    <row r="39" spans="10:59" x14ac:dyDescent="0.25"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</row>
    <row r="40" spans="10:59" x14ac:dyDescent="0.25"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</row>
    <row r="41" spans="10:59" x14ac:dyDescent="0.25"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</row>
    <row r="42" spans="10:59" x14ac:dyDescent="0.25"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</row>
    <row r="43" spans="10:59" x14ac:dyDescent="0.25"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</row>
    <row r="44" spans="10:59" x14ac:dyDescent="0.25"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</row>
    <row r="45" spans="10:59" x14ac:dyDescent="0.25"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</row>
    <row r="46" spans="10:59" x14ac:dyDescent="0.25"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</row>
    <row r="47" spans="10:59" x14ac:dyDescent="0.25"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</row>
    <row r="48" spans="10:59" x14ac:dyDescent="0.25"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</row>
    <row r="49" spans="10:59" x14ac:dyDescent="0.25"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</row>
    <row r="50" spans="10:59" x14ac:dyDescent="0.25"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</row>
    <row r="51" spans="10:59" x14ac:dyDescent="0.25"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</row>
    <row r="52" spans="10:59" x14ac:dyDescent="0.25"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</row>
    <row r="53" spans="10:59" x14ac:dyDescent="0.25"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</row>
    <row r="54" spans="10:59" x14ac:dyDescent="0.25"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</row>
    <row r="55" spans="10:59" x14ac:dyDescent="0.25"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</row>
    <row r="56" spans="10:59" x14ac:dyDescent="0.25"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</row>
    <row r="57" spans="10:59" x14ac:dyDescent="0.25"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</row>
    <row r="58" spans="10:59" x14ac:dyDescent="0.25"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</row>
    <row r="59" spans="10:59" x14ac:dyDescent="0.25"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</row>
    <row r="60" spans="10:59" x14ac:dyDescent="0.25"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</row>
    <row r="61" spans="10:59" x14ac:dyDescent="0.25"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</row>
    <row r="62" spans="10:59" x14ac:dyDescent="0.25"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</row>
    <row r="63" spans="10:59" x14ac:dyDescent="0.25"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</row>
    <row r="64" spans="10:59" x14ac:dyDescent="0.25"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</row>
    <row r="65" spans="10:59" x14ac:dyDescent="0.25"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</row>
    <row r="66" spans="10:59" x14ac:dyDescent="0.25"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</row>
    <row r="67" spans="10:59" x14ac:dyDescent="0.25"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</row>
    <row r="68" spans="10:59" x14ac:dyDescent="0.25"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</row>
    <row r="69" spans="10:59" x14ac:dyDescent="0.25"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</row>
    <row r="70" spans="10:59" x14ac:dyDescent="0.25"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</row>
    <row r="71" spans="10:59" x14ac:dyDescent="0.25"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</row>
    <row r="72" spans="10:59" x14ac:dyDescent="0.25"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</row>
    <row r="73" spans="10:59" x14ac:dyDescent="0.25"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</row>
    <row r="74" spans="10:59" x14ac:dyDescent="0.25"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</row>
    <row r="75" spans="10:59" x14ac:dyDescent="0.25"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</row>
    <row r="76" spans="10:59" x14ac:dyDescent="0.25"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</row>
    <row r="77" spans="10:59" x14ac:dyDescent="0.25"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</row>
    <row r="78" spans="10:59" x14ac:dyDescent="0.25">
      <c r="J78" s="63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1FEE-60F3-4386-88D3-0E1B3A62B609}">
  <dimension ref="A1:H9"/>
  <sheetViews>
    <sheetView workbookViewId="0">
      <selection activeCell="E5" sqref="E5"/>
    </sheetView>
  </sheetViews>
  <sheetFormatPr defaultRowHeight="15" x14ac:dyDescent="0.25"/>
  <cols>
    <col min="1" max="1" width="10" bestFit="1" customWidth="1"/>
    <col min="2" max="2" width="18.42578125" bestFit="1" customWidth="1"/>
    <col min="3" max="3" width="10.7109375" bestFit="1" customWidth="1"/>
    <col min="4" max="4" width="9.28515625" bestFit="1" customWidth="1"/>
    <col min="5" max="5" width="65.5703125" bestFit="1" customWidth="1"/>
    <col min="6" max="6" width="101.85546875" bestFit="1" customWidth="1"/>
    <col min="7" max="7" width="9.28515625" bestFit="1" customWidth="1"/>
    <col min="8" max="8" width="21.85546875" bestFit="1" customWidth="1"/>
  </cols>
  <sheetData>
    <row r="1" spans="1:8" x14ac:dyDescent="0.25">
      <c r="A1" s="64" t="s">
        <v>260</v>
      </c>
    </row>
    <row r="3" spans="1:8" x14ac:dyDescent="0.25">
      <c r="A3" t="s">
        <v>20</v>
      </c>
      <c r="B3" t="s">
        <v>217</v>
      </c>
      <c r="C3" t="s">
        <v>19</v>
      </c>
      <c r="D3" t="s">
        <v>15</v>
      </c>
      <c r="E3" t="s">
        <v>16</v>
      </c>
      <c r="F3" t="s">
        <v>27</v>
      </c>
      <c r="G3" t="s">
        <v>18</v>
      </c>
      <c r="H3" t="s">
        <v>220</v>
      </c>
    </row>
    <row r="4" spans="1:8" x14ac:dyDescent="0.25">
      <c r="A4">
        <v>19</v>
      </c>
      <c r="B4" t="s">
        <v>0</v>
      </c>
      <c r="C4" t="s">
        <v>116</v>
      </c>
      <c r="D4">
        <v>2503366</v>
      </c>
      <c r="E4" s="63" t="s">
        <v>215</v>
      </c>
      <c r="F4" t="s">
        <v>216</v>
      </c>
      <c r="G4">
        <v>14850.000000000002</v>
      </c>
      <c r="H4">
        <v>13500</v>
      </c>
    </row>
    <row r="5" spans="1:8" x14ac:dyDescent="0.25">
      <c r="A5">
        <v>19</v>
      </c>
      <c r="B5" t="s">
        <v>0</v>
      </c>
      <c r="C5" t="s">
        <v>75</v>
      </c>
      <c r="D5">
        <v>2501117</v>
      </c>
      <c r="E5" t="s">
        <v>177</v>
      </c>
      <c r="F5" s="63" t="s">
        <v>178</v>
      </c>
      <c r="G5">
        <v>44000</v>
      </c>
      <c r="H5">
        <v>40000</v>
      </c>
    </row>
    <row r="6" spans="1:8" x14ac:dyDescent="0.25">
      <c r="A6">
        <v>19</v>
      </c>
      <c r="B6" t="s">
        <v>0</v>
      </c>
      <c r="C6" t="s">
        <v>40</v>
      </c>
      <c r="D6">
        <v>2308332</v>
      </c>
      <c r="E6" s="63" t="s">
        <v>208</v>
      </c>
      <c r="F6" t="s">
        <v>209</v>
      </c>
      <c r="G6">
        <v>82500</v>
      </c>
      <c r="H6">
        <v>75000</v>
      </c>
    </row>
    <row r="7" spans="1:8" x14ac:dyDescent="0.25">
      <c r="A7">
        <v>19</v>
      </c>
      <c r="B7" t="s">
        <v>0</v>
      </c>
      <c r="C7" t="s">
        <v>58</v>
      </c>
      <c r="D7">
        <v>2405253</v>
      </c>
      <c r="E7" t="s">
        <v>190</v>
      </c>
      <c r="F7" t="s">
        <v>191</v>
      </c>
      <c r="G7">
        <v>30000</v>
      </c>
      <c r="H7">
        <v>27272.727272727272</v>
      </c>
    </row>
    <row r="8" spans="1:8" x14ac:dyDescent="0.25">
      <c r="A8">
        <v>19</v>
      </c>
      <c r="B8" t="s">
        <v>0</v>
      </c>
      <c r="C8" t="s">
        <v>40</v>
      </c>
      <c r="D8">
        <v>2404787</v>
      </c>
      <c r="E8" s="63" t="s">
        <v>126</v>
      </c>
      <c r="F8" t="s">
        <v>127</v>
      </c>
      <c r="G8">
        <v>3300.0000000000005</v>
      </c>
      <c r="H8">
        <v>3000</v>
      </c>
    </row>
    <row r="9" spans="1:8" x14ac:dyDescent="0.25">
      <c r="A9">
        <v>19</v>
      </c>
      <c r="B9" t="s">
        <v>0</v>
      </c>
      <c r="C9" t="s">
        <v>116</v>
      </c>
      <c r="D9">
        <v>2403966</v>
      </c>
      <c r="E9" t="s">
        <v>212</v>
      </c>
      <c r="F9" t="s">
        <v>213</v>
      </c>
      <c r="G9">
        <v>73700</v>
      </c>
      <c r="H9">
        <v>67000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6C6CD-22EE-43E8-BC87-9B22386EC796}">
  <dimension ref="A1:H9"/>
  <sheetViews>
    <sheetView workbookViewId="0">
      <selection activeCell="F8" sqref="F8"/>
    </sheetView>
  </sheetViews>
  <sheetFormatPr defaultRowHeight="15" x14ac:dyDescent="0.25"/>
  <cols>
    <col min="1" max="1" width="10" bestFit="1" customWidth="1"/>
    <col min="2" max="2" width="18.42578125" bestFit="1" customWidth="1"/>
    <col min="3" max="3" width="26.42578125" bestFit="1" customWidth="1"/>
    <col min="4" max="4" width="9.28515625" bestFit="1" customWidth="1"/>
    <col min="5" max="6" width="37.28515625" style="63" customWidth="1"/>
    <col min="7" max="7" width="10.5703125" style="69" bestFit="1" customWidth="1"/>
    <col min="8" max="8" width="22" style="69" bestFit="1" customWidth="1"/>
  </cols>
  <sheetData>
    <row r="1" spans="1:8" x14ac:dyDescent="0.25">
      <c r="A1" s="64" t="s">
        <v>262</v>
      </c>
    </row>
    <row r="3" spans="1:8" x14ac:dyDescent="0.25">
      <c r="A3" t="s">
        <v>20</v>
      </c>
      <c r="B3" t="s">
        <v>217</v>
      </c>
      <c r="C3" t="s">
        <v>19</v>
      </c>
      <c r="D3" t="s">
        <v>15</v>
      </c>
      <c r="E3" s="63" t="s">
        <v>16</v>
      </c>
      <c r="F3" s="63" t="s">
        <v>27</v>
      </c>
      <c r="G3" s="69" t="s">
        <v>18</v>
      </c>
      <c r="H3" s="69" t="s">
        <v>220</v>
      </c>
    </row>
    <row r="4" spans="1:8" ht="30" x14ac:dyDescent="0.25">
      <c r="A4">
        <v>29</v>
      </c>
      <c r="B4" t="s">
        <v>1</v>
      </c>
      <c r="C4" t="s">
        <v>199</v>
      </c>
      <c r="D4">
        <v>2301884</v>
      </c>
      <c r="E4" s="63" t="s">
        <v>200</v>
      </c>
      <c r="F4" s="63" t="s">
        <v>249</v>
      </c>
      <c r="G4" s="69">
        <v>44000</v>
      </c>
      <c r="H4" s="69">
        <v>40000</v>
      </c>
    </row>
    <row r="5" spans="1:8" ht="30" x14ac:dyDescent="0.25">
      <c r="A5">
        <v>29</v>
      </c>
      <c r="B5" t="s">
        <v>1</v>
      </c>
      <c r="C5" t="s">
        <v>134</v>
      </c>
      <c r="D5">
        <v>2504085</v>
      </c>
      <c r="E5" s="63" t="s">
        <v>186</v>
      </c>
      <c r="F5" s="63" t="s">
        <v>242</v>
      </c>
      <c r="G5" s="69">
        <v>33000</v>
      </c>
      <c r="H5" s="69">
        <v>30000</v>
      </c>
    </row>
    <row r="6" spans="1:8" ht="30" x14ac:dyDescent="0.25">
      <c r="A6">
        <v>29</v>
      </c>
      <c r="B6" t="s">
        <v>1</v>
      </c>
      <c r="C6" t="s">
        <v>138</v>
      </c>
      <c r="D6">
        <v>2502395</v>
      </c>
      <c r="E6" s="63" t="s">
        <v>198</v>
      </c>
      <c r="F6" s="63" t="s">
        <v>248</v>
      </c>
      <c r="G6" s="69">
        <v>25850.000000000004</v>
      </c>
      <c r="H6" s="69">
        <v>23500</v>
      </c>
    </row>
    <row r="7" spans="1:8" ht="30" x14ac:dyDescent="0.25">
      <c r="A7">
        <v>29</v>
      </c>
      <c r="B7" t="s">
        <v>1</v>
      </c>
      <c r="C7" t="s">
        <v>138</v>
      </c>
      <c r="D7">
        <v>2501571</v>
      </c>
      <c r="E7" s="63" t="s">
        <v>139</v>
      </c>
      <c r="F7" s="63" t="s">
        <v>231</v>
      </c>
      <c r="G7" s="69">
        <v>25708.837</v>
      </c>
      <c r="H7" s="69">
        <v>23371.67</v>
      </c>
    </row>
    <row r="8" spans="1:8" ht="45" x14ac:dyDescent="0.25">
      <c r="A8">
        <v>29</v>
      </c>
      <c r="B8" t="s">
        <v>1</v>
      </c>
      <c r="C8" t="s">
        <v>116</v>
      </c>
      <c r="D8">
        <v>2501321</v>
      </c>
      <c r="E8" s="63" t="s">
        <v>212</v>
      </c>
      <c r="F8" s="63" t="s">
        <v>214</v>
      </c>
      <c r="G8" s="69">
        <v>21230</v>
      </c>
      <c r="H8" s="69">
        <v>19300</v>
      </c>
    </row>
    <row r="9" spans="1:8" ht="45" x14ac:dyDescent="0.25">
      <c r="A9">
        <v>29</v>
      </c>
      <c r="B9" t="s">
        <v>1</v>
      </c>
      <c r="C9" t="s">
        <v>167</v>
      </c>
      <c r="D9">
        <v>2405335</v>
      </c>
      <c r="E9" s="63" t="s">
        <v>168</v>
      </c>
      <c r="F9" s="63" t="s">
        <v>237</v>
      </c>
      <c r="G9" s="69">
        <v>28600.000000000004</v>
      </c>
      <c r="H9" s="69">
        <v>26000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0835A-B175-4621-AC87-821B52B13BF5}">
  <dimension ref="A1:H16"/>
  <sheetViews>
    <sheetView workbookViewId="0">
      <selection activeCell="L11" sqref="L11"/>
    </sheetView>
  </sheetViews>
  <sheetFormatPr defaultRowHeight="15" x14ac:dyDescent="0.25"/>
  <cols>
    <col min="1" max="1" width="10" style="67" bestFit="1" customWidth="1"/>
    <col min="2" max="2" width="18.42578125" style="67" bestFit="1" customWidth="1"/>
    <col min="3" max="3" width="16.7109375" style="67" bestFit="1" customWidth="1"/>
    <col min="4" max="4" width="9.28515625" style="67" bestFit="1" customWidth="1"/>
    <col min="5" max="6" width="47" style="65" customWidth="1"/>
    <col min="7" max="8" width="12.85546875" style="68" customWidth="1"/>
    <col min="9" max="16384" width="9.140625" style="67"/>
  </cols>
  <sheetData>
    <row r="1" spans="1:8" x14ac:dyDescent="0.25">
      <c r="A1" s="66" t="s">
        <v>263</v>
      </c>
    </row>
    <row r="3" spans="1:8" x14ac:dyDescent="0.25">
      <c r="A3" s="67" t="s">
        <v>20</v>
      </c>
      <c r="B3" s="67" t="s">
        <v>217</v>
      </c>
      <c r="C3" s="67" t="s">
        <v>19</v>
      </c>
      <c r="D3" s="67" t="s">
        <v>15</v>
      </c>
      <c r="E3" s="65" t="s">
        <v>16</v>
      </c>
      <c r="F3" s="65" t="s">
        <v>27</v>
      </c>
      <c r="G3" s="68" t="s">
        <v>18</v>
      </c>
      <c r="H3" s="68" t="s">
        <v>220</v>
      </c>
    </row>
    <row r="4" spans="1:8" ht="30" x14ac:dyDescent="0.25">
      <c r="A4" s="67">
        <v>39</v>
      </c>
      <c r="B4" s="67" t="s">
        <v>3</v>
      </c>
      <c r="C4" s="67" t="s">
        <v>134</v>
      </c>
      <c r="D4" s="67">
        <v>2504727</v>
      </c>
      <c r="E4" s="65" t="s">
        <v>189</v>
      </c>
      <c r="F4" s="65" t="s">
        <v>245</v>
      </c>
      <c r="G4" s="68">
        <v>31350.000000000004</v>
      </c>
      <c r="H4" s="68">
        <v>28500</v>
      </c>
    </row>
    <row r="5" spans="1:8" ht="30" x14ac:dyDescent="0.25">
      <c r="A5" s="67">
        <v>39</v>
      </c>
      <c r="B5" s="67" t="s">
        <v>3</v>
      </c>
      <c r="C5" s="67" t="s">
        <v>134</v>
      </c>
      <c r="D5" s="67">
        <v>2504091</v>
      </c>
      <c r="E5" s="65" t="s">
        <v>184</v>
      </c>
      <c r="F5" s="65" t="s">
        <v>240</v>
      </c>
      <c r="G5" s="68">
        <v>16500</v>
      </c>
      <c r="H5" s="68">
        <v>15000</v>
      </c>
    </row>
    <row r="6" spans="1:8" ht="30" x14ac:dyDescent="0.25">
      <c r="A6" s="67">
        <v>39</v>
      </c>
      <c r="B6" s="67" t="s">
        <v>3</v>
      </c>
      <c r="C6" s="67" t="s">
        <v>134</v>
      </c>
      <c r="D6" s="67">
        <v>2503721</v>
      </c>
      <c r="E6" s="65" t="s">
        <v>185</v>
      </c>
      <c r="F6" s="65" t="s">
        <v>241</v>
      </c>
      <c r="G6" s="68">
        <v>11000</v>
      </c>
      <c r="H6" s="68">
        <v>10000</v>
      </c>
    </row>
    <row r="7" spans="1:8" ht="30" x14ac:dyDescent="0.25">
      <c r="A7" s="67">
        <v>39</v>
      </c>
      <c r="B7" s="67" t="s">
        <v>3</v>
      </c>
      <c r="C7" s="67" t="s">
        <v>134</v>
      </c>
      <c r="D7" s="67">
        <v>2503529</v>
      </c>
      <c r="E7" s="65" t="s">
        <v>188</v>
      </c>
      <c r="F7" s="65" t="s">
        <v>244</v>
      </c>
      <c r="G7" s="68">
        <v>16500</v>
      </c>
      <c r="H7" s="68">
        <v>15000</v>
      </c>
    </row>
    <row r="8" spans="1:8" ht="45" x14ac:dyDescent="0.25">
      <c r="A8" s="67">
        <v>39</v>
      </c>
      <c r="B8" s="67" t="s">
        <v>3</v>
      </c>
      <c r="C8" s="67" t="s">
        <v>134</v>
      </c>
      <c r="D8" s="67">
        <v>2503124</v>
      </c>
      <c r="E8" s="65" t="s">
        <v>187</v>
      </c>
      <c r="F8" s="65" t="s">
        <v>243</v>
      </c>
      <c r="G8" s="68">
        <v>12100.000000000002</v>
      </c>
      <c r="H8" s="68">
        <v>11000</v>
      </c>
    </row>
    <row r="9" spans="1:8" ht="30" x14ac:dyDescent="0.25">
      <c r="A9" s="67">
        <v>39</v>
      </c>
      <c r="B9" s="67" t="s">
        <v>3</v>
      </c>
      <c r="C9" s="67" t="s">
        <v>134</v>
      </c>
      <c r="D9" s="67">
        <v>2502960</v>
      </c>
      <c r="E9" s="65" t="s">
        <v>183</v>
      </c>
      <c r="F9" s="65" t="s">
        <v>239</v>
      </c>
      <c r="G9" s="68">
        <v>38500</v>
      </c>
      <c r="H9" s="68">
        <v>35000</v>
      </c>
    </row>
    <row r="10" spans="1:8" ht="30" x14ac:dyDescent="0.25">
      <c r="A10" s="67">
        <v>39</v>
      </c>
      <c r="B10" s="67" t="s">
        <v>3</v>
      </c>
      <c r="C10" s="67" t="s">
        <v>132</v>
      </c>
      <c r="D10" s="67">
        <v>2502836</v>
      </c>
      <c r="E10" s="65" t="s">
        <v>133</v>
      </c>
      <c r="F10" s="65" t="s">
        <v>229</v>
      </c>
      <c r="G10" s="68">
        <v>20174</v>
      </c>
      <c r="H10" s="68">
        <v>18340</v>
      </c>
    </row>
    <row r="11" spans="1:8" ht="45" x14ac:dyDescent="0.25">
      <c r="A11" s="67">
        <v>39</v>
      </c>
      <c r="B11" s="67" t="s">
        <v>3</v>
      </c>
      <c r="C11" s="67" t="s">
        <v>78</v>
      </c>
      <c r="D11" s="67">
        <v>2502596</v>
      </c>
      <c r="E11" s="65" t="s">
        <v>151</v>
      </c>
      <c r="F11" s="65" t="s">
        <v>233</v>
      </c>
      <c r="G11" s="68">
        <v>11000</v>
      </c>
      <c r="H11" s="68">
        <v>10000</v>
      </c>
    </row>
    <row r="12" spans="1:8" ht="30" x14ac:dyDescent="0.25">
      <c r="A12" s="67">
        <v>39</v>
      </c>
      <c r="B12" s="67" t="s">
        <v>3</v>
      </c>
      <c r="C12" s="67" t="s">
        <v>121</v>
      </c>
      <c r="D12" s="67">
        <v>2502585</v>
      </c>
      <c r="E12" s="65" t="s">
        <v>166</v>
      </c>
      <c r="F12" s="65" t="s">
        <v>236</v>
      </c>
      <c r="G12" s="68">
        <v>14300.000000000002</v>
      </c>
      <c r="H12" s="68">
        <v>13000</v>
      </c>
    </row>
    <row r="13" spans="1:8" ht="30" x14ac:dyDescent="0.25">
      <c r="A13" s="67">
        <v>39</v>
      </c>
      <c r="B13" s="67" t="s">
        <v>3</v>
      </c>
      <c r="C13" s="67" t="s">
        <v>121</v>
      </c>
      <c r="D13" s="67">
        <v>2502251</v>
      </c>
      <c r="E13" s="65" t="s">
        <v>122</v>
      </c>
      <c r="F13" s="65" t="s">
        <v>232</v>
      </c>
      <c r="G13" s="68">
        <v>11000</v>
      </c>
      <c r="H13" s="68">
        <v>10000</v>
      </c>
    </row>
    <row r="14" spans="1:8" ht="45" x14ac:dyDescent="0.25">
      <c r="A14" s="67">
        <v>39</v>
      </c>
      <c r="B14" s="67" t="s">
        <v>3</v>
      </c>
      <c r="C14" s="67" t="s">
        <v>134</v>
      </c>
      <c r="D14" s="67">
        <v>2501315</v>
      </c>
      <c r="E14" s="65" t="s">
        <v>135</v>
      </c>
      <c r="F14" s="65" t="s">
        <v>230</v>
      </c>
      <c r="G14" s="68">
        <v>83600</v>
      </c>
      <c r="H14" s="68">
        <v>76000</v>
      </c>
    </row>
    <row r="15" spans="1:8" ht="30" x14ac:dyDescent="0.25">
      <c r="A15" s="67">
        <v>39</v>
      </c>
      <c r="B15" s="67" t="s">
        <v>3</v>
      </c>
      <c r="C15" s="67" t="s">
        <v>52</v>
      </c>
      <c r="D15" s="67">
        <v>2501113</v>
      </c>
      <c r="E15" s="65" t="s">
        <v>130</v>
      </c>
      <c r="F15" s="65" t="s">
        <v>227</v>
      </c>
      <c r="G15" s="68">
        <v>22000</v>
      </c>
      <c r="H15" s="68">
        <v>20000</v>
      </c>
    </row>
    <row r="16" spans="1:8" ht="30" x14ac:dyDescent="0.25">
      <c r="A16" s="67">
        <v>39</v>
      </c>
      <c r="B16" s="67" t="s">
        <v>3</v>
      </c>
      <c r="C16" s="67" t="s">
        <v>121</v>
      </c>
      <c r="D16" s="67">
        <v>2405395</v>
      </c>
      <c r="E16" s="65" t="s">
        <v>122</v>
      </c>
      <c r="F16" s="65" t="s">
        <v>224</v>
      </c>
      <c r="G16" s="68">
        <v>15180.000000000002</v>
      </c>
      <c r="H16" s="68">
        <v>13800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41889-AE69-4AE0-B500-C380FB87A837}">
  <dimension ref="A1:H9"/>
  <sheetViews>
    <sheetView workbookViewId="0">
      <selection activeCell="E15" sqref="E15"/>
    </sheetView>
  </sheetViews>
  <sheetFormatPr defaultRowHeight="15" x14ac:dyDescent="0.25"/>
  <cols>
    <col min="1" max="1" width="10" style="67" bestFit="1" customWidth="1"/>
    <col min="2" max="2" width="18.42578125" style="67" bestFit="1" customWidth="1"/>
    <col min="3" max="3" width="13.7109375" style="67" bestFit="1" customWidth="1"/>
    <col min="4" max="4" width="9.28515625" style="67" bestFit="1" customWidth="1"/>
    <col min="5" max="6" width="33.140625" style="65" customWidth="1"/>
    <col min="7" max="8" width="11.7109375" style="68" customWidth="1"/>
    <col min="9" max="16384" width="9.140625" style="67"/>
  </cols>
  <sheetData>
    <row r="1" spans="1:8" x14ac:dyDescent="0.25">
      <c r="A1" s="66" t="s">
        <v>264</v>
      </c>
    </row>
    <row r="3" spans="1:8" x14ac:dyDescent="0.25">
      <c r="A3" s="67" t="s">
        <v>20</v>
      </c>
      <c r="B3" s="67" t="s">
        <v>217</v>
      </c>
      <c r="C3" s="67" t="s">
        <v>19</v>
      </c>
      <c r="D3" s="67" t="s">
        <v>15</v>
      </c>
      <c r="E3" s="65" t="s">
        <v>16</v>
      </c>
      <c r="F3" s="65" t="s">
        <v>27</v>
      </c>
      <c r="G3" s="68" t="s">
        <v>18</v>
      </c>
      <c r="H3" s="68" t="s">
        <v>220</v>
      </c>
    </row>
    <row r="4" spans="1:8" ht="45" x14ac:dyDescent="0.25">
      <c r="A4" s="67">
        <v>49</v>
      </c>
      <c r="B4" s="67" t="s">
        <v>5</v>
      </c>
      <c r="C4" s="67" t="s">
        <v>134</v>
      </c>
      <c r="D4" s="67">
        <v>2503492</v>
      </c>
      <c r="E4" s="65" t="s">
        <v>162</v>
      </c>
      <c r="F4" s="65" t="s">
        <v>234</v>
      </c>
      <c r="G4" s="68">
        <v>55000.000000000007</v>
      </c>
      <c r="H4" s="68">
        <v>50000</v>
      </c>
    </row>
    <row r="5" spans="1:8" ht="45" x14ac:dyDescent="0.25">
      <c r="A5" s="67">
        <v>49</v>
      </c>
      <c r="B5" s="67" t="s">
        <v>5</v>
      </c>
      <c r="C5" s="67" t="s">
        <v>145</v>
      </c>
      <c r="D5" s="67">
        <v>2502649</v>
      </c>
      <c r="E5" s="65" t="s">
        <v>146</v>
      </c>
      <c r="F5" s="65" t="s">
        <v>147</v>
      </c>
      <c r="G5" s="68">
        <v>41250</v>
      </c>
      <c r="H5" s="68">
        <v>37500</v>
      </c>
    </row>
    <row r="6" spans="1:8" ht="45" x14ac:dyDescent="0.25">
      <c r="A6" s="67">
        <v>49</v>
      </c>
      <c r="B6" s="67" t="s">
        <v>5</v>
      </c>
      <c r="C6" s="67" t="s">
        <v>167</v>
      </c>
      <c r="D6" s="67">
        <v>2502536</v>
      </c>
      <c r="E6" s="65" t="s">
        <v>169</v>
      </c>
      <c r="F6" s="65" t="s">
        <v>238</v>
      </c>
      <c r="G6" s="68">
        <v>38500</v>
      </c>
      <c r="H6" s="68">
        <v>35000</v>
      </c>
    </row>
    <row r="7" spans="1:8" ht="75" x14ac:dyDescent="0.25">
      <c r="A7" s="67">
        <v>49</v>
      </c>
      <c r="B7" s="67" t="s">
        <v>5</v>
      </c>
      <c r="C7" s="67" t="s">
        <v>100</v>
      </c>
      <c r="D7" s="67">
        <v>2502352</v>
      </c>
      <c r="E7" s="65" t="s">
        <v>128</v>
      </c>
      <c r="F7" s="65" t="s">
        <v>165</v>
      </c>
      <c r="G7" s="68">
        <v>30000</v>
      </c>
      <c r="H7" s="68">
        <v>27027.03</v>
      </c>
    </row>
    <row r="8" spans="1:8" ht="60" x14ac:dyDescent="0.25">
      <c r="A8" s="67">
        <v>49</v>
      </c>
      <c r="B8" s="67" t="s">
        <v>5</v>
      </c>
      <c r="C8" s="67" t="s">
        <v>142</v>
      </c>
      <c r="D8" s="67">
        <v>2407037</v>
      </c>
      <c r="E8" s="65" t="s">
        <v>143</v>
      </c>
      <c r="F8" s="65" t="s">
        <v>144</v>
      </c>
      <c r="G8" s="68">
        <v>22000</v>
      </c>
      <c r="H8" s="68">
        <v>20000</v>
      </c>
    </row>
    <row r="9" spans="1:8" ht="60" x14ac:dyDescent="0.25">
      <c r="A9" s="67">
        <v>49</v>
      </c>
      <c r="B9" s="67" t="s">
        <v>5</v>
      </c>
      <c r="C9" s="67" t="s">
        <v>40</v>
      </c>
      <c r="D9" s="67">
        <v>2403893</v>
      </c>
      <c r="E9" s="65" t="s">
        <v>172</v>
      </c>
      <c r="F9" s="65" t="s">
        <v>173</v>
      </c>
      <c r="G9" s="68">
        <v>25300.000000000004</v>
      </c>
      <c r="H9" s="68">
        <v>23000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9E85F-0B4B-45AC-850B-7F6EA428C1F5}">
  <dimension ref="A1:H15"/>
  <sheetViews>
    <sheetView workbookViewId="0">
      <selection activeCell="F4" sqref="F4"/>
    </sheetView>
  </sheetViews>
  <sheetFormatPr defaultRowHeight="15" x14ac:dyDescent="0.25"/>
  <cols>
    <col min="1" max="1" width="10" style="67" bestFit="1" customWidth="1"/>
    <col min="2" max="2" width="18.42578125" style="67" bestFit="1" customWidth="1"/>
    <col min="3" max="3" width="10.28515625" style="67" bestFit="1" customWidth="1"/>
    <col min="4" max="4" width="9.28515625" style="67" bestFit="1" customWidth="1"/>
    <col min="5" max="6" width="42.85546875" style="65" customWidth="1"/>
    <col min="7" max="7" width="15.42578125" style="68" customWidth="1"/>
    <col min="8" max="8" width="15.7109375" style="68" customWidth="1"/>
    <col min="9" max="16384" width="9.140625" style="67"/>
  </cols>
  <sheetData>
    <row r="1" spans="1:8" x14ac:dyDescent="0.25">
      <c r="A1" s="66" t="s">
        <v>261</v>
      </c>
    </row>
    <row r="3" spans="1:8" x14ac:dyDescent="0.25">
      <c r="A3" s="67" t="s">
        <v>20</v>
      </c>
      <c r="B3" s="67" t="s">
        <v>217</v>
      </c>
      <c r="C3" s="67" t="s">
        <v>19</v>
      </c>
      <c r="D3" s="67" t="s">
        <v>15</v>
      </c>
      <c r="E3" s="65" t="s">
        <v>16</v>
      </c>
      <c r="F3" s="65" t="s">
        <v>27</v>
      </c>
      <c r="G3" s="68" t="s">
        <v>18</v>
      </c>
      <c r="H3" s="68" t="s">
        <v>220</v>
      </c>
    </row>
    <row r="4" spans="1:8" ht="45" x14ac:dyDescent="0.25">
      <c r="A4" s="67">
        <v>59</v>
      </c>
      <c r="B4" s="67" t="s">
        <v>37</v>
      </c>
      <c r="C4" s="67" t="s">
        <v>28</v>
      </c>
      <c r="D4" s="67">
        <v>2405331</v>
      </c>
      <c r="E4" s="65" t="s">
        <v>254</v>
      </c>
      <c r="F4" s="65" t="s">
        <v>255</v>
      </c>
      <c r="G4" s="68">
        <v>24000</v>
      </c>
      <c r="H4" s="68">
        <v>21621.62</v>
      </c>
    </row>
    <row r="5" spans="1:8" ht="45" x14ac:dyDescent="0.25">
      <c r="A5" s="67">
        <v>59</v>
      </c>
      <c r="B5" s="67" t="s">
        <v>37</v>
      </c>
      <c r="C5" s="67" t="s">
        <v>111</v>
      </c>
      <c r="D5" s="67">
        <v>2400620</v>
      </c>
      <c r="E5" s="65" t="s">
        <v>252</v>
      </c>
      <c r="F5" s="65" t="s">
        <v>253</v>
      </c>
      <c r="G5" s="68">
        <v>49500.000000000007</v>
      </c>
      <c r="H5" s="68">
        <v>45000</v>
      </c>
    </row>
    <row r="6" spans="1:8" ht="60" x14ac:dyDescent="0.25">
      <c r="A6" s="67">
        <v>59</v>
      </c>
      <c r="B6" s="67" t="s">
        <v>37</v>
      </c>
      <c r="C6" s="67" t="s">
        <v>111</v>
      </c>
      <c r="D6" s="67">
        <v>2404812</v>
      </c>
      <c r="E6" s="65" t="s">
        <v>250</v>
      </c>
      <c r="F6" s="65" t="s">
        <v>251</v>
      </c>
      <c r="G6" s="68">
        <v>68200</v>
      </c>
      <c r="H6" s="68">
        <v>62000</v>
      </c>
    </row>
    <row r="7" spans="1:8" ht="45" x14ac:dyDescent="0.25">
      <c r="A7" s="67">
        <v>59</v>
      </c>
      <c r="B7" s="67" t="s">
        <v>37</v>
      </c>
      <c r="C7" s="67" t="s">
        <v>111</v>
      </c>
      <c r="D7" s="67">
        <v>2401354</v>
      </c>
      <c r="E7" s="65" t="s">
        <v>112</v>
      </c>
      <c r="F7" s="65" t="s">
        <v>223</v>
      </c>
      <c r="G7" s="68">
        <v>112200.00000000001</v>
      </c>
      <c r="H7" s="68">
        <v>102000</v>
      </c>
    </row>
    <row r="8" spans="1:8" ht="45" x14ac:dyDescent="0.25">
      <c r="A8" s="67">
        <v>59</v>
      </c>
      <c r="B8" s="67" t="s">
        <v>37</v>
      </c>
      <c r="C8" s="67" t="s">
        <v>111</v>
      </c>
      <c r="D8" s="67">
        <v>2503016</v>
      </c>
      <c r="E8" s="65" t="s">
        <v>181</v>
      </c>
      <c r="F8" s="65" t="s">
        <v>182</v>
      </c>
      <c r="G8" s="68">
        <v>110000.00000000001</v>
      </c>
      <c r="H8" s="68">
        <v>100000</v>
      </c>
    </row>
    <row r="9" spans="1:8" ht="45" x14ac:dyDescent="0.25">
      <c r="A9" s="67">
        <v>59</v>
      </c>
      <c r="B9" s="67" t="s">
        <v>37</v>
      </c>
      <c r="C9" s="67" t="s">
        <v>100</v>
      </c>
      <c r="D9" s="67">
        <v>2502914</v>
      </c>
      <c r="E9" s="65" t="s">
        <v>210</v>
      </c>
      <c r="F9" s="65" t="s">
        <v>211</v>
      </c>
      <c r="G9" s="68">
        <v>100000</v>
      </c>
      <c r="H9" s="68">
        <v>90090.09</v>
      </c>
    </row>
    <row r="10" spans="1:8" ht="75" x14ac:dyDescent="0.25">
      <c r="A10" s="67">
        <v>59</v>
      </c>
      <c r="B10" s="67" t="s">
        <v>37</v>
      </c>
      <c r="C10" s="67" t="s">
        <v>116</v>
      </c>
      <c r="D10" s="67">
        <v>2502538</v>
      </c>
      <c r="E10" s="65" t="s">
        <v>158</v>
      </c>
      <c r="F10" s="65" t="s">
        <v>159</v>
      </c>
      <c r="G10" s="68">
        <v>24750.000000000004</v>
      </c>
      <c r="H10" s="68">
        <v>22500</v>
      </c>
    </row>
    <row r="11" spans="1:8" ht="60" x14ac:dyDescent="0.25">
      <c r="A11" s="67">
        <v>59</v>
      </c>
      <c r="B11" s="67" t="s">
        <v>37</v>
      </c>
      <c r="C11" s="67" t="s">
        <v>111</v>
      </c>
      <c r="D11" s="67">
        <v>2407641</v>
      </c>
      <c r="E11" s="65" t="s">
        <v>196</v>
      </c>
      <c r="F11" s="65" t="s">
        <v>197</v>
      </c>
      <c r="G11" s="68">
        <v>45600</v>
      </c>
      <c r="H11" s="68">
        <v>41081.08</v>
      </c>
    </row>
    <row r="12" spans="1:8" ht="60" x14ac:dyDescent="0.25">
      <c r="A12" s="67">
        <v>59</v>
      </c>
      <c r="B12" s="67" t="s">
        <v>37</v>
      </c>
      <c r="C12" s="67" t="s">
        <v>111</v>
      </c>
      <c r="D12" s="67">
        <v>2407465</v>
      </c>
      <c r="E12" s="65" t="s">
        <v>136</v>
      </c>
      <c r="F12" s="65" t="s">
        <v>137</v>
      </c>
      <c r="G12" s="68">
        <v>63800</v>
      </c>
      <c r="H12" s="68">
        <v>57477.48</v>
      </c>
    </row>
    <row r="13" spans="1:8" ht="60" x14ac:dyDescent="0.25">
      <c r="A13" s="67">
        <v>59</v>
      </c>
      <c r="B13" s="67" t="s">
        <v>37</v>
      </c>
      <c r="C13" s="67" t="s">
        <v>100</v>
      </c>
      <c r="D13" s="67">
        <v>2407406</v>
      </c>
      <c r="E13" s="65" t="s">
        <v>128</v>
      </c>
      <c r="F13" s="65" t="s">
        <v>129</v>
      </c>
      <c r="G13" s="68">
        <v>330000</v>
      </c>
      <c r="H13" s="68">
        <v>300000</v>
      </c>
    </row>
    <row r="14" spans="1:8" ht="60" x14ac:dyDescent="0.25">
      <c r="A14" s="67">
        <v>59</v>
      </c>
      <c r="B14" s="67" t="s">
        <v>37</v>
      </c>
      <c r="C14" s="67" t="s">
        <v>111</v>
      </c>
      <c r="D14" s="67">
        <v>2406000</v>
      </c>
      <c r="E14" s="65" t="s">
        <v>194</v>
      </c>
      <c r="F14" s="65" t="s">
        <v>195</v>
      </c>
      <c r="G14" s="68">
        <v>300000</v>
      </c>
      <c r="H14" s="68">
        <v>272727.27272727271</v>
      </c>
    </row>
    <row r="15" spans="1:8" ht="60" x14ac:dyDescent="0.25">
      <c r="A15" s="67">
        <v>59</v>
      </c>
      <c r="B15" s="67" t="s">
        <v>37</v>
      </c>
      <c r="C15" s="67" t="s">
        <v>111</v>
      </c>
      <c r="D15" s="67">
        <v>2405625</v>
      </c>
      <c r="E15" s="65" t="s">
        <v>119</v>
      </c>
      <c r="F15" s="65" t="s">
        <v>120</v>
      </c>
      <c r="G15" s="68">
        <v>75000</v>
      </c>
      <c r="H15" s="68">
        <v>67567.570000000007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A492-2E27-4C05-9DA2-3253D25BB081}">
  <dimension ref="A1:I2"/>
  <sheetViews>
    <sheetView workbookViewId="0">
      <selection activeCell="I1" sqref="I1"/>
    </sheetView>
  </sheetViews>
  <sheetFormatPr defaultColWidth="66.42578125" defaultRowHeight="15" x14ac:dyDescent="0.25"/>
  <cols>
    <col min="1" max="1" width="14.7109375" style="1" bestFit="1" customWidth="1"/>
    <col min="2" max="2" width="18.42578125" style="2" customWidth="1"/>
    <col min="3" max="3" width="19" style="1" bestFit="1" customWidth="1"/>
    <col min="4" max="4" width="8" style="1" bestFit="1" customWidth="1"/>
    <col min="5" max="5" width="40.5703125" style="1" customWidth="1"/>
    <col min="6" max="6" width="66.42578125" style="1"/>
    <col min="7" max="7" width="10.7109375" style="3" bestFit="1" customWidth="1"/>
    <col min="8" max="8" width="7.7109375" style="1" customWidth="1"/>
    <col min="9" max="16384" width="66.42578125" style="1"/>
  </cols>
  <sheetData>
    <row r="1" spans="1:9" x14ac:dyDescent="0.25">
      <c r="A1" s="4" t="s">
        <v>20</v>
      </c>
      <c r="B1" s="4" t="s">
        <v>26</v>
      </c>
      <c r="C1" s="4" t="s">
        <v>19</v>
      </c>
      <c r="D1" s="4" t="s">
        <v>15</v>
      </c>
      <c r="E1" s="4" t="s">
        <v>16</v>
      </c>
      <c r="F1" s="4" t="s">
        <v>27</v>
      </c>
      <c r="G1" s="5" t="s">
        <v>18</v>
      </c>
      <c r="H1" s="5" t="s">
        <v>17</v>
      </c>
    </row>
    <row r="2" spans="1:9" ht="78.75" x14ac:dyDescent="0.25">
      <c r="A2" s="6">
        <v>19</v>
      </c>
      <c r="B2" s="6" t="s">
        <v>0</v>
      </c>
      <c r="C2" s="6" t="s">
        <v>28</v>
      </c>
      <c r="D2" s="6">
        <v>2100677</v>
      </c>
      <c r="E2" s="7" t="s">
        <v>29</v>
      </c>
      <c r="F2" s="7" t="s">
        <v>30</v>
      </c>
      <c r="G2" s="8">
        <v>172500</v>
      </c>
      <c r="I2" s="9" t="s">
        <v>31</v>
      </c>
    </row>
  </sheetData>
  <printOptions horizontalCentered="1" gridLines="1"/>
  <pageMargins left="0.45" right="0.45" top="0.75" bottom="0.75" header="0.3" footer="0.3"/>
  <pageSetup scale="77" orientation="landscape" r:id="rId1"/>
  <headerFooter>
    <oddFooter>&amp;L&amp;A - &amp;P&amp;CBoard Meeting&amp;R12/16/23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45A01-1D60-4097-A929-8BB0793B7DAB}">
  <dimension ref="A1:H66"/>
  <sheetViews>
    <sheetView workbookViewId="0">
      <selection sqref="A1:H65"/>
    </sheetView>
  </sheetViews>
  <sheetFormatPr defaultColWidth="66.42578125" defaultRowHeight="15" x14ac:dyDescent="0.25"/>
  <cols>
    <col min="1" max="1" width="11.85546875" style="1" bestFit="1" customWidth="1"/>
    <col min="2" max="2" width="23" style="2" customWidth="1"/>
    <col min="3" max="3" width="19" style="1" bestFit="1" customWidth="1"/>
    <col min="4" max="4" width="9.7109375" style="1" customWidth="1"/>
    <col min="5" max="5" width="40.5703125" style="1" customWidth="1"/>
    <col min="6" max="6" width="66.42578125" style="1"/>
    <col min="7" max="7" width="12.28515625" style="3" customWidth="1"/>
    <col min="8" max="8" width="14.42578125" style="51" customWidth="1"/>
    <col min="9" max="9" width="12.28515625" style="1" bestFit="1" customWidth="1"/>
    <col min="10" max="16384" width="66.42578125" style="1"/>
  </cols>
  <sheetData>
    <row r="1" spans="1:8" ht="30" x14ac:dyDescent="0.25">
      <c r="A1" s="4" t="s">
        <v>20</v>
      </c>
      <c r="B1" s="4" t="s">
        <v>217</v>
      </c>
      <c r="C1" s="4" t="s">
        <v>19</v>
      </c>
      <c r="D1" s="4" t="s">
        <v>15</v>
      </c>
      <c r="E1" s="4" t="s">
        <v>16</v>
      </c>
      <c r="F1" s="4" t="s">
        <v>27</v>
      </c>
      <c r="G1" s="5" t="s">
        <v>18</v>
      </c>
      <c r="H1" s="49" t="s">
        <v>220</v>
      </c>
    </row>
    <row r="2" spans="1:8" ht="30" x14ac:dyDescent="0.25">
      <c r="A2" s="6">
        <v>29</v>
      </c>
      <c r="B2" s="6" t="s">
        <v>1</v>
      </c>
      <c r="C2" s="6" t="s">
        <v>199</v>
      </c>
      <c r="D2" s="6">
        <v>2301884</v>
      </c>
      <c r="E2" s="7" t="s">
        <v>200</v>
      </c>
      <c r="F2" s="7" t="s">
        <v>249</v>
      </c>
      <c r="G2" s="8">
        <f t="shared" ref="G2:G12" si="0">H2*1.1</f>
        <v>44000</v>
      </c>
      <c r="H2" s="50">
        <v>40000</v>
      </c>
    </row>
    <row r="3" spans="1:8" x14ac:dyDescent="0.25">
      <c r="A3" s="6">
        <v>69</v>
      </c>
      <c r="B3" s="6" t="s">
        <v>218</v>
      </c>
      <c r="C3" s="6" t="s">
        <v>67</v>
      </c>
      <c r="D3" s="6">
        <v>2305832</v>
      </c>
      <c r="E3" s="7" t="s">
        <v>154</v>
      </c>
      <c r="F3" s="7" t="s">
        <v>155</v>
      </c>
      <c r="G3" s="8">
        <f t="shared" si="0"/>
        <v>44000</v>
      </c>
      <c r="H3" s="50">
        <v>40000</v>
      </c>
    </row>
    <row r="4" spans="1:8" ht="30" x14ac:dyDescent="0.25">
      <c r="A4" s="6">
        <v>19</v>
      </c>
      <c r="B4" s="6" t="s">
        <v>0</v>
      </c>
      <c r="C4" s="6" t="s">
        <v>40</v>
      </c>
      <c r="D4" s="6">
        <v>2308332</v>
      </c>
      <c r="E4" s="7" t="s">
        <v>208</v>
      </c>
      <c r="F4" s="7" t="s">
        <v>209</v>
      </c>
      <c r="G4" s="8">
        <f t="shared" si="0"/>
        <v>82500</v>
      </c>
      <c r="H4" s="50">
        <v>75000</v>
      </c>
    </row>
    <row r="5" spans="1:8" ht="45" x14ac:dyDescent="0.25">
      <c r="A5" s="6">
        <v>59</v>
      </c>
      <c r="B5" s="6" t="s">
        <v>37</v>
      </c>
      <c r="C5" s="6" t="s">
        <v>111</v>
      </c>
      <c r="D5" s="6">
        <v>2401354</v>
      </c>
      <c r="E5" s="7" t="s">
        <v>112</v>
      </c>
      <c r="F5" s="33" t="s">
        <v>223</v>
      </c>
      <c r="G5" s="8">
        <f t="shared" si="0"/>
        <v>112200.00000000001</v>
      </c>
      <c r="H5" s="50">
        <v>102000</v>
      </c>
    </row>
    <row r="6" spans="1:8" x14ac:dyDescent="0.25">
      <c r="A6" s="6">
        <v>79</v>
      </c>
      <c r="B6" s="6" t="s">
        <v>7</v>
      </c>
      <c r="C6" s="6" t="s">
        <v>78</v>
      </c>
      <c r="D6" s="6">
        <v>2402422</v>
      </c>
      <c r="E6" s="7" t="s">
        <v>113</v>
      </c>
      <c r="F6" s="7" t="s">
        <v>221</v>
      </c>
      <c r="G6" s="8">
        <f t="shared" si="0"/>
        <v>11000</v>
      </c>
      <c r="H6" s="50">
        <v>10000</v>
      </c>
    </row>
    <row r="7" spans="1:8" ht="30" x14ac:dyDescent="0.25">
      <c r="A7" s="6">
        <v>79</v>
      </c>
      <c r="B7" s="6" t="s">
        <v>7</v>
      </c>
      <c r="C7" s="6" t="s">
        <v>72</v>
      </c>
      <c r="D7" s="6">
        <v>2402805</v>
      </c>
      <c r="E7" s="7" t="s">
        <v>140</v>
      </c>
      <c r="F7" s="7" t="s">
        <v>141</v>
      </c>
      <c r="G7" s="8">
        <f t="shared" si="0"/>
        <v>13200.000000000002</v>
      </c>
      <c r="H7" s="50">
        <v>12000</v>
      </c>
    </row>
    <row r="8" spans="1:8" ht="30" x14ac:dyDescent="0.25">
      <c r="A8" s="6">
        <v>89</v>
      </c>
      <c r="B8" s="6" t="s">
        <v>219</v>
      </c>
      <c r="C8" s="6" t="s">
        <v>201</v>
      </c>
      <c r="D8" s="6">
        <v>2403879</v>
      </c>
      <c r="E8" s="7" t="s">
        <v>202</v>
      </c>
      <c r="F8" s="7" t="s">
        <v>203</v>
      </c>
      <c r="G8" s="8">
        <f t="shared" si="0"/>
        <v>11000</v>
      </c>
      <c r="H8" s="50">
        <v>10000</v>
      </c>
    </row>
    <row r="9" spans="1:8" ht="30" x14ac:dyDescent="0.25">
      <c r="A9" s="6">
        <v>49</v>
      </c>
      <c r="B9" s="6" t="s">
        <v>5</v>
      </c>
      <c r="C9" s="6" t="s">
        <v>40</v>
      </c>
      <c r="D9" s="6">
        <v>2403893</v>
      </c>
      <c r="E9" s="7" t="s">
        <v>172</v>
      </c>
      <c r="F9" s="7" t="s">
        <v>173</v>
      </c>
      <c r="G9" s="8">
        <f t="shared" si="0"/>
        <v>25300.000000000004</v>
      </c>
      <c r="H9" s="50">
        <v>23000</v>
      </c>
    </row>
    <row r="10" spans="1:8" ht="30" x14ac:dyDescent="0.25">
      <c r="A10" s="6">
        <v>19</v>
      </c>
      <c r="B10" s="6" t="s">
        <v>0</v>
      </c>
      <c r="C10" s="6" t="s">
        <v>116</v>
      </c>
      <c r="D10" s="6">
        <v>2403966</v>
      </c>
      <c r="E10" s="7" t="s">
        <v>212</v>
      </c>
      <c r="F10" s="7" t="s">
        <v>213</v>
      </c>
      <c r="G10" s="8">
        <f t="shared" si="0"/>
        <v>73700</v>
      </c>
      <c r="H10" s="50">
        <v>67000</v>
      </c>
    </row>
    <row r="11" spans="1:8" ht="30" x14ac:dyDescent="0.25">
      <c r="A11" s="6">
        <v>69</v>
      </c>
      <c r="B11" s="6" t="s">
        <v>218</v>
      </c>
      <c r="C11" s="6" t="s">
        <v>116</v>
      </c>
      <c r="D11" s="6">
        <v>2404726</v>
      </c>
      <c r="E11" s="7" t="s">
        <v>117</v>
      </c>
      <c r="F11" s="7" t="s">
        <v>118</v>
      </c>
      <c r="G11" s="8">
        <f t="shared" si="0"/>
        <v>13200.000000000002</v>
      </c>
      <c r="H11" s="50">
        <v>12000</v>
      </c>
    </row>
    <row r="12" spans="1:8" ht="30" x14ac:dyDescent="0.25">
      <c r="A12" s="6">
        <v>19</v>
      </c>
      <c r="B12" s="6" t="s">
        <v>0</v>
      </c>
      <c r="C12" s="6" t="s">
        <v>40</v>
      </c>
      <c r="D12" s="6">
        <v>2404787</v>
      </c>
      <c r="E12" s="7" t="s">
        <v>126</v>
      </c>
      <c r="F12" s="7" t="s">
        <v>127</v>
      </c>
      <c r="G12" s="8">
        <f t="shared" si="0"/>
        <v>3300.0000000000005</v>
      </c>
      <c r="H12" s="50">
        <v>3000</v>
      </c>
    </row>
    <row r="13" spans="1:8" ht="30" x14ac:dyDescent="0.25">
      <c r="A13" s="6">
        <v>19</v>
      </c>
      <c r="B13" s="6" t="s">
        <v>0</v>
      </c>
      <c r="C13" s="6" t="s">
        <v>58</v>
      </c>
      <c r="D13" s="6">
        <v>2405253</v>
      </c>
      <c r="E13" s="7" t="s">
        <v>190</v>
      </c>
      <c r="F13" s="7" t="s">
        <v>191</v>
      </c>
      <c r="G13" s="8">
        <v>30000</v>
      </c>
      <c r="H13" s="50">
        <f>G13/1.1</f>
        <v>27272.727272727272</v>
      </c>
    </row>
    <row r="14" spans="1:8" ht="30" x14ac:dyDescent="0.25">
      <c r="A14" s="6">
        <v>29</v>
      </c>
      <c r="B14" s="6" t="s">
        <v>1</v>
      </c>
      <c r="C14" s="6" t="s">
        <v>167</v>
      </c>
      <c r="D14" s="6">
        <v>2405335</v>
      </c>
      <c r="E14" s="7" t="s">
        <v>168</v>
      </c>
      <c r="F14" s="7" t="s">
        <v>237</v>
      </c>
      <c r="G14" s="8">
        <f>H14*1.1</f>
        <v>28600.000000000004</v>
      </c>
      <c r="H14" s="50">
        <v>26000</v>
      </c>
    </row>
    <row r="15" spans="1:8" ht="30" x14ac:dyDescent="0.25">
      <c r="A15" s="6">
        <v>39</v>
      </c>
      <c r="B15" s="6" t="s">
        <v>3</v>
      </c>
      <c r="C15" s="6" t="s">
        <v>121</v>
      </c>
      <c r="D15" s="6">
        <v>2405395</v>
      </c>
      <c r="E15" s="7" t="s">
        <v>122</v>
      </c>
      <c r="F15" s="7" t="s">
        <v>224</v>
      </c>
      <c r="G15" s="8">
        <f>H15*1.1</f>
        <v>15180.000000000002</v>
      </c>
      <c r="H15" s="50">
        <v>13800</v>
      </c>
    </row>
    <row r="16" spans="1:8" ht="45" x14ac:dyDescent="0.25">
      <c r="A16" s="6">
        <v>59</v>
      </c>
      <c r="B16" s="6" t="s">
        <v>37</v>
      </c>
      <c r="C16" s="6" t="s">
        <v>111</v>
      </c>
      <c r="D16" s="6">
        <v>2405625</v>
      </c>
      <c r="E16" s="7" t="s">
        <v>119</v>
      </c>
      <c r="F16" s="7" t="s">
        <v>120</v>
      </c>
      <c r="G16" s="8">
        <v>75000</v>
      </c>
      <c r="H16" s="50">
        <v>67567.570000000007</v>
      </c>
    </row>
    <row r="17" spans="1:8" ht="45" x14ac:dyDescent="0.25">
      <c r="A17" s="6">
        <v>59</v>
      </c>
      <c r="B17" s="6" t="s">
        <v>37</v>
      </c>
      <c r="C17" s="6" t="s">
        <v>111</v>
      </c>
      <c r="D17" s="6">
        <v>2406000</v>
      </c>
      <c r="E17" s="7" t="s">
        <v>194</v>
      </c>
      <c r="F17" s="7" t="s">
        <v>195</v>
      </c>
      <c r="G17" s="8">
        <v>300000</v>
      </c>
      <c r="H17" s="50">
        <f>G17/1.1</f>
        <v>272727.27272727271</v>
      </c>
    </row>
    <row r="18" spans="1:8" ht="45" x14ac:dyDescent="0.25">
      <c r="A18" s="6">
        <v>49</v>
      </c>
      <c r="B18" s="6" t="s">
        <v>5</v>
      </c>
      <c r="C18" s="6" t="s">
        <v>142</v>
      </c>
      <c r="D18" s="6">
        <v>2407037</v>
      </c>
      <c r="E18" s="7" t="s">
        <v>143</v>
      </c>
      <c r="F18" s="7" t="s">
        <v>144</v>
      </c>
      <c r="G18" s="8">
        <f>H18*1.1</f>
        <v>22000</v>
      </c>
      <c r="H18" s="50">
        <v>20000</v>
      </c>
    </row>
    <row r="19" spans="1:8" ht="45" x14ac:dyDescent="0.25">
      <c r="A19" s="6">
        <v>59</v>
      </c>
      <c r="B19" s="6" t="s">
        <v>37</v>
      </c>
      <c r="C19" s="6" t="s">
        <v>100</v>
      </c>
      <c r="D19" s="6">
        <v>2407406</v>
      </c>
      <c r="E19" s="7" t="s">
        <v>128</v>
      </c>
      <c r="F19" s="7" t="s">
        <v>129</v>
      </c>
      <c r="G19" s="8">
        <f>H19*1.1</f>
        <v>330000</v>
      </c>
      <c r="H19" s="50">
        <v>300000</v>
      </c>
    </row>
    <row r="20" spans="1:8" ht="45" x14ac:dyDescent="0.25">
      <c r="A20" s="6">
        <v>59</v>
      </c>
      <c r="B20" s="6" t="s">
        <v>37</v>
      </c>
      <c r="C20" s="6" t="s">
        <v>111</v>
      </c>
      <c r="D20" s="6">
        <v>2407465</v>
      </c>
      <c r="E20" s="7" t="s">
        <v>136</v>
      </c>
      <c r="F20" s="7" t="s">
        <v>137</v>
      </c>
      <c r="G20" s="8">
        <v>63800</v>
      </c>
      <c r="H20" s="50">
        <v>57477.48</v>
      </c>
    </row>
    <row r="21" spans="1:8" ht="45" x14ac:dyDescent="0.25">
      <c r="A21" s="6">
        <v>59</v>
      </c>
      <c r="B21" s="6" t="s">
        <v>37</v>
      </c>
      <c r="C21" s="6" t="s">
        <v>111</v>
      </c>
      <c r="D21" s="6">
        <v>2407641</v>
      </c>
      <c r="E21" s="7" t="s">
        <v>196</v>
      </c>
      <c r="F21" s="7" t="s">
        <v>197</v>
      </c>
      <c r="G21" s="8">
        <v>45600</v>
      </c>
      <c r="H21" s="50">
        <v>41081.08</v>
      </c>
    </row>
    <row r="22" spans="1:8" x14ac:dyDescent="0.25">
      <c r="A22" s="6">
        <v>79</v>
      </c>
      <c r="B22" s="6" t="s">
        <v>7</v>
      </c>
      <c r="C22" s="6" t="s">
        <v>174</v>
      </c>
      <c r="D22" s="6">
        <v>2407913</v>
      </c>
      <c r="E22" s="7" t="s">
        <v>175</v>
      </c>
      <c r="F22" s="7" t="s">
        <v>176</v>
      </c>
      <c r="G22" s="8">
        <f t="shared" ref="G22:G35" si="1">H22*1.1</f>
        <v>16500</v>
      </c>
      <c r="H22" s="50">
        <v>15000</v>
      </c>
    </row>
    <row r="23" spans="1:8" x14ac:dyDescent="0.25">
      <c r="A23" s="6">
        <v>79</v>
      </c>
      <c r="B23" s="6" t="s">
        <v>7</v>
      </c>
      <c r="C23" s="6" t="s">
        <v>67</v>
      </c>
      <c r="D23" s="6">
        <v>2407924</v>
      </c>
      <c r="E23" s="7" t="s">
        <v>156</v>
      </c>
      <c r="F23" s="7" t="s">
        <v>157</v>
      </c>
      <c r="G23" s="8">
        <f t="shared" si="1"/>
        <v>8800</v>
      </c>
      <c r="H23" s="50">
        <v>8000</v>
      </c>
    </row>
    <row r="24" spans="1:8" x14ac:dyDescent="0.25">
      <c r="A24" s="6">
        <v>79</v>
      </c>
      <c r="B24" s="6" t="s">
        <v>7</v>
      </c>
      <c r="C24" s="6" t="s">
        <v>114</v>
      </c>
      <c r="D24" s="6">
        <v>2407983</v>
      </c>
      <c r="E24" s="7" t="s">
        <v>115</v>
      </c>
      <c r="F24" s="7" t="s">
        <v>222</v>
      </c>
      <c r="G24" s="8">
        <f t="shared" si="1"/>
        <v>13838.000000000002</v>
      </c>
      <c r="H24" s="50">
        <v>12580</v>
      </c>
    </row>
    <row r="25" spans="1:8" ht="30" x14ac:dyDescent="0.25">
      <c r="A25" s="6">
        <v>79</v>
      </c>
      <c r="B25" s="6" t="s">
        <v>7</v>
      </c>
      <c r="C25" s="6" t="s">
        <v>123</v>
      </c>
      <c r="D25" s="6">
        <v>2408067</v>
      </c>
      <c r="E25" s="7" t="s">
        <v>125</v>
      </c>
      <c r="F25" s="7" t="s">
        <v>226</v>
      </c>
      <c r="G25" s="8">
        <f t="shared" si="1"/>
        <v>20350</v>
      </c>
      <c r="H25" s="50">
        <v>18500</v>
      </c>
    </row>
    <row r="26" spans="1:8" x14ac:dyDescent="0.25">
      <c r="A26" s="6">
        <v>39</v>
      </c>
      <c r="B26" s="6" t="s">
        <v>3</v>
      </c>
      <c r="C26" s="6" t="s">
        <v>52</v>
      </c>
      <c r="D26" s="6">
        <v>2501113</v>
      </c>
      <c r="E26" s="7" t="s">
        <v>130</v>
      </c>
      <c r="F26" s="7" t="s">
        <v>227</v>
      </c>
      <c r="G26" s="8">
        <f t="shared" si="1"/>
        <v>22000</v>
      </c>
      <c r="H26" s="50">
        <v>20000</v>
      </c>
    </row>
    <row r="27" spans="1:8" ht="45" x14ac:dyDescent="0.25">
      <c r="A27" s="6">
        <v>19</v>
      </c>
      <c r="B27" s="6" t="s">
        <v>0</v>
      </c>
      <c r="C27" s="6" t="s">
        <v>75</v>
      </c>
      <c r="D27" s="6">
        <v>2501117</v>
      </c>
      <c r="E27" s="7" t="s">
        <v>177</v>
      </c>
      <c r="F27" s="7" t="s">
        <v>178</v>
      </c>
      <c r="G27" s="8">
        <f t="shared" si="1"/>
        <v>44000</v>
      </c>
      <c r="H27" s="50">
        <v>40000</v>
      </c>
    </row>
    <row r="28" spans="1:8" ht="30" x14ac:dyDescent="0.25">
      <c r="A28" s="6">
        <v>79</v>
      </c>
      <c r="B28" s="6" t="s">
        <v>7</v>
      </c>
      <c r="C28" s="6" t="s">
        <v>205</v>
      </c>
      <c r="D28" s="6">
        <v>2501286</v>
      </c>
      <c r="E28" s="7" t="s">
        <v>206</v>
      </c>
      <c r="F28" s="7" t="s">
        <v>207</v>
      </c>
      <c r="G28" s="8">
        <f t="shared" si="1"/>
        <v>19800</v>
      </c>
      <c r="H28" s="50">
        <v>18000</v>
      </c>
    </row>
    <row r="29" spans="1:8" ht="30" x14ac:dyDescent="0.25">
      <c r="A29" s="6">
        <v>39</v>
      </c>
      <c r="B29" s="6" t="s">
        <v>3</v>
      </c>
      <c r="C29" s="6" t="s">
        <v>134</v>
      </c>
      <c r="D29" s="6">
        <v>2501315</v>
      </c>
      <c r="E29" s="7" t="s">
        <v>135</v>
      </c>
      <c r="F29" s="7" t="s">
        <v>230</v>
      </c>
      <c r="G29" s="8">
        <f t="shared" si="1"/>
        <v>83600</v>
      </c>
      <c r="H29" s="50">
        <v>76000</v>
      </c>
    </row>
    <row r="30" spans="1:8" ht="30" x14ac:dyDescent="0.25">
      <c r="A30" s="6">
        <v>29</v>
      </c>
      <c r="B30" s="6" t="s">
        <v>1</v>
      </c>
      <c r="C30" s="6" t="s">
        <v>116</v>
      </c>
      <c r="D30" s="6">
        <v>2501321</v>
      </c>
      <c r="E30" s="7" t="s">
        <v>212</v>
      </c>
      <c r="F30" s="7" t="s">
        <v>214</v>
      </c>
      <c r="G30" s="8">
        <f t="shared" si="1"/>
        <v>21230</v>
      </c>
      <c r="H30" s="50">
        <v>19300</v>
      </c>
    </row>
    <row r="31" spans="1:8" ht="30" x14ac:dyDescent="0.25">
      <c r="A31" s="6">
        <v>79</v>
      </c>
      <c r="B31" s="6" t="s">
        <v>7</v>
      </c>
      <c r="C31" s="6" t="s">
        <v>123</v>
      </c>
      <c r="D31" s="6">
        <v>2501413</v>
      </c>
      <c r="E31" s="7" t="s">
        <v>124</v>
      </c>
      <c r="F31" s="7" t="s">
        <v>225</v>
      </c>
      <c r="G31" s="8">
        <f t="shared" si="1"/>
        <v>18920</v>
      </c>
      <c r="H31" s="50">
        <v>17200</v>
      </c>
    </row>
    <row r="32" spans="1:8" x14ac:dyDescent="0.25">
      <c r="A32" s="6">
        <v>79</v>
      </c>
      <c r="B32" s="6" t="s">
        <v>7</v>
      </c>
      <c r="C32" s="6" t="s">
        <v>72</v>
      </c>
      <c r="D32" s="6">
        <v>2501470</v>
      </c>
      <c r="E32" s="7" t="s">
        <v>152</v>
      </c>
      <c r="F32" s="7" t="s">
        <v>153</v>
      </c>
      <c r="G32" s="8">
        <f t="shared" si="1"/>
        <v>11000</v>
      </c>
      <c r="H32" s="50">
        <v>10000</v>
      </c>
    </row>
    <row r="33" spans="1:8" ht="30" x14ac:dyDescent="0.25">
      <c r="A33" s="6">
        <v>29</v>
      </c>
      <c r="B33" s="6" t="s">
        <v>1</v>
      </c>
      <c r="C33" s="6" t="s">
        <v>138</v>
      </c>
      <c r="D33" s="6">
        <v>2501571</v>
      </c>
      <c r="E33" s="7" t="s">
        <v>139</v>
      </c>
      <c r="F33" s="7" t="s">
        <v>231</v>
      </c>
      <c r="G33" s="8">
        <f t="shared" si="1"/>
        <v>25708.837</v>
      </c>
      <c r="H33" s="50">
        <v>23371.67</v>
      </c>
    </row>
    <row r="34" spans="1:8" x14ac:dyDescent="0.25">
      <c r="A34" s="6">
        <v>79</v>
      </c>
      <c r="B34" s="6" t="s">
        <v>7</v>
      </c>
      <c r="C34" s="6" t="s">
        <v>148</v>
      </c>
      <c r="D34" s="6">
        <v>2501576</v>
      </c>
      <c r="E34" s="7" t="s">
        <v>149</v>
      </c>
      <c r="F34" s="7" t="s">
        <v>150</v>
      </c>
      <c r="G34" s="8">
        <f t="shared" si="1"/>
        <v>13750.000000000002</v>
      </c>
      <c r="H34" s="50">
        <v>12500</v>
      </c>
    </row>
    <row r="35" spans="1:8" x14ac:dyDescent="0.25">
      <c r="A35" s="6">
        <v>39</v>
      </c>
      <c r="B35" s="6" t="s">
        <v>3</v>
      </c>
      <c r="C35" s="6" t="s">
        <v>121</v>
      </c>
      <c r="D35" s="6">
        <v>2502251</v>
      </c>
      <c r="E35" s="7" t="s">
        <v>122</v>
      </c>
      <c r="F35" s="7" t="s">
        <v>232</v>
      </c>
      <c r="G35" s="8">
        <f t="shared" si="1"/>
        <v>11000</v>
      </c>
      <c r="H35" s="50">
        <v>10000</v>
      </c>
    </row>
    <row r="36" spans="1:8" ht="45" x14ac:dyDescent="0.25">
      <c r="A36" s="6">
        <v>49</v>
      </c>
      <c r="B36" s="6" t="s">
        <v>5</v>
      </c>
      <c r="C36" s="6" t="s">
        <v>100</v>
      </c>
      <c r="D36" s="6">
        <v>2502352</v>
      </c>
      <c r="E36" s="7" t="s">
        <v>128</v>
      </c>
      <c r="F36" s="7" t="s">
        <v>165</v>
      </c>
      <c r="G36" s="8">
        <v>30000</v>
      </c>
      <c r="H36" s="50">
        <v>27027.03</v>
      </c>
    </row>
    <row r="37" spans="1:8" ht="30" x14ac:dyDescent="0.25">
      <c r="A37" s="6">
        <v>29</v>
      </c>
      <c r="B37" s="6" t="s">
        <v>1</v>
      </c>
      <c r="C37" s="6" t="s">
        <v>138</v>
      </c>
      <c r="D37" s="6">
        <v>2502395</v>
      </c>
      <c r="E37" s="7" t="s">
        <v>198</v>
      </c>
      <c r="F37" s="7" t="s">
        <v>248</v>
      </c>
      <c r="G37" s="8">
        <f t="shared" ref="G37:G42" si="2">H37*1.1</f>
        <v>25850.000000000004</v>
      </c>
      <c r="H37" s="50">
        <v>23500</v>
      </c>
    </row>
    <row r="38" spans="1:8" ht="30" x14ac:dyDescent="0.25">
      <c r="A38" s="6">
        <v>49</v>
      </c>
      <c r="B38" s="6" t="s">
        <v>5</v>
      </c>
      <c r="C38" s="6" t="s">
        <v>167</v>
      </c>
      <c r="D38" s="6">
        <v>2502536</v>
      </c>
      <c r="E38" s="7" t="s">
        <v>169</v>
      </c>
      <c r="F38" s="7" t="s">
        <v>238</v>
      </c>
      <c r="G38" s="8">
        <f t="shared" si="2"/>
        <v>38500</v>
      </c>
      <c r="H38" s="50">
        <v>35000</v>
      </c>
    </row>
    <row r="39" spans="1:8" ht="45" x14ac:dyDescent="0.25">
      <c r="A39" s="6">
        <v>59</v>
      </c>
      <c r="B39" s="6" t="s">
        <v>37</v>
      </c>
      <c r="C39" s="6" t="s">
        <v>116</v>
      </c>
      <c r="D39" s="6">
        <v>2502538</v>
      </c>
      <c r="E39" s="7" t="s">
        <v>158</v>
      </c>
      <c r="F39" s="7" t="s">
        <v>159</v>
      </c>
      <c r="G39" s="8">
        <f t="shared" si="2"/>
        <v>24750.000000000004</v>
      </c>
      <c r="H39" s="50">
        <v>22500</v>
      </c>
    </row>
    <row r="40" spans="1:8" ht="30" x14ac:dyDescent="0.25">
      <c r="A40" s="6">
        <v>39</v>
      </c>
      <c r="B40" s="6" t="s">
        <v>3</v>
      </c>
      <c r="C40" s="6" t="s">
        <v>121</v>
      </c>
      <c r="D40" s="6">
        <v>2502585</v>
      </c>
      <c r="E40" s="7" t="s">
        <v>166</v>
      </c>
      <c r="F40" s="7" t="s">
        <v>236</v>
      </c>
      <c r="G40" s="8">
        <f t="shared" si="2"/>
        <v>14300.000000000002</v>
      </c>
      <c r="H40" s="50">
        <v>13000</v>
      </c>
    </row>
    <row r="41" spans="1:8" ht="45" x14ac:dyDescent="0.25">
      <c r="A41" s="6">
        <v>39</v>
      </c>
      <c r="B41" s="6" t="s">
        <v>3</v>
      </c>
      <c r="C41" s="6" t="s">
        <v>78</v>
      </c>
      <c r="D41" s="6">
        <v>2502596</v>
      </c>
      <c r="E41" s="7" t="s">
        <v>151</v>
      </c>
      <c r="F41" s="7" t="s">
        <v>233</v>
      </c>
      <c r="G41" s="8">
        <f t="shared" si="2"/>
        <v>11000</v>
      </c>
      <c r="H41" s="50">
        <v>10000</v>
      </c>
    </row>
    <row r="42" spans="1:8" ht="30" x14ac:dyDescent="0.25">
      <c r="A42" s="6">
        <v>49</v>
      </c>
      <c r="B42" s="6" t="s">
        <v>5</v>
      </c>
      <c r="C42" s="6" t="s">
        <v>145</v>
      </c>
      <c r="D42" s="6">
        <v>2502649</v>
      </c>
      <c r="E42" s="7" t="s">
        <v>146</v>
      </c>
      <c r="F42" s="7" t="s">
        <v>147</v>
      </c>
      <c r="G42" s="8">
        <f t="shared" si="2"/>
        <v>41250</v>
      </c>
      <c r="H42" s="50">
        <v>37500</v>
      </c>
    </row>
    <row r="43" spans="1:8" x14ac:dyDescent="0.25">
      <c r="A43" s="6">
        <v>79</v>
      </c>
      <c r="B43" s="6" t="s">
        <v>7</v>
      </c>
      <c r="C43" s="6" t="s">
        <v>82</v>
      </c>
      <c r="D43" s="6">
        <v>2502760</v>
      </c>
      <c r="E43" s="7" t="s">
        <v>193</v>
      </c>
      <c r="F43" s="7" t="s">
        <v>247</v>
      </c>
      <c r="G43" s="8">
        <v>18000</v>
      </c>
      <c r="H43" s="50">
        <v>16216.22</v>
      </c>
    </row>
    <row r="44" spans="1:8" ht="45" x14ac:dyDescent="0.25">
      <c r="A44" s="6">
        <v>79</v>
      </c>
      <c r="B44" s="6" t="s">
        <v>7</v>
      </c>
      <c r="C44" s="6" t="s">
        <v>163</v>
      </c>
      <c r="D44" s="6">
        <v>2502763</v>
      </c>
      <c r="E44" s="7" t="s">
        <v>164</v>
      </c>
      <c r="F44" s="7" t="s">
        <v>235</v>
      </c>
      <c r="G44" s="8">
        <v>15000</v>
      </c>
      <c r="H44" s="50">
        <v>13513.51</v>
      </c>
    </row>
    <row r="45" spans="1:8" x14ac:dyDescent="0.25">
      <c r="A45" s="6">
        <v>39</v>
      </c>
      <c r="B45" s="6" t="s">
        <v>3</v>
      </c>
      <c r="C45" s="6" t="s">
        <v>132</v>
      </c>
      <c r="D45" s="6">
        <v>2502836</v>
      </c>
      <c r="E45" s="7" t="s">
        <v>133</v>
      </c>
      <c r="F45" s="7" t="s">
        <v>229</v>
      </c>
      <c r="G45" s="8">
        <f>H45*1.1</f>
        <v>20174</v>
      </c>
      <c r="H45" s="50">
        <v>18340</v>
      </c>
    </row>
    <row r="46" spans="1:8" ht="30" x14ac:dyDescent="0.25">
      <c r="A46" s="6">
        <v>79</v>
      </c>
      <c r="B46" s="6" t="s">
        <v>7</v>
      </c>
      <c r="C46" s="6" t="s">
        <v>123</v>
      </c>
      <c r="D46" s="6">
        <v>2502888</v>
      </c>
      <c r="E46" s="7" t="s">
        <v>131</v>
      </c>
      <c r="F46" s="7" t="s">
        <v>228</v>
      </c>
      <c r="G46" s="8">
        <f>H46*1.1</f>
        <v>19360</v>
      </c>
      <c r="H46" s="50">
        <v>17600</v>
      </c>
    </row>
    <row r="47" spans="1:8" ht="30" x14ac:dyDescent="0.25">
      <c r="A47" s="6">
        <v>59</v>
      </c>
      <c r="B47" s="6" t="s">
        <v>37</v>
      </c>
      <c r="C47" s="6" t="s">
        <v>100</v>
      </c>
      <c r="D47" s="6">
        <v>2502914</v>
      </c>
      <c r="E47" s="7" t="s">
        <v>210</v>
      </c>
      <c r="F47" s="7" t="s">
        <v>211</v>
      </c>
      <c r="G47" s="8">
        <v>100000</v>
      </c>
      <c r="H47" s="50">
        <v>90090.09</v>
      </c>
    </row>
    <row r="48" spans="1:8" ht="30" x14ac:dyDescent="0.25">
      <c r="A48" s="6">
        <v>79</v>
      </c>
      <c r="B48" s="6" t="s">
        <v>7</v>
      </c>
      <c r="C48" s="6" t="s">
        <v>116</v>
      </c>
      <c r="D48" s="6">
        <v>2502930</v>
      </c>
      <c r="E48" s="7" t="s">
        <v>158</v>
      </c>
      <c r="F48" s="7" t="s">
        <v>204</v>
      </c>
      <c r="G48" s="8">
        <f t="shared" ref="G48:G56" si="3">H48*1.1</f>
        <v>15950.000000000002</v>
      </c>
      <c r="H48" s="50">
        <v>14500</v>
      </c>
    </row>
    <row r="49" spans="1:8" ht="30" x14ac:dyDescent="0.25">
      <c r="A49" s="6">
        <v>79</v>
      </c>
      <c r="B49" s="6" t="s">
        <v>7</v>
      </c>
      <c r="C49" s="6" t="s">
        <v>67</v>
      </c>
      <c r="D49" s="6">
        <v>2502941</v>
      </c>
      <c r="E49" s="7" t="s">
        <v>170</v>
      </c>
      <c r="F49" s="7" t="s">
        <v>171</v>
      </c>
      <c r="G49" s="8">
        <f t="shared" si="3"/>
        <v>11000</v>
      </c>
      <c r="H49" s="50">
        <v>10000</v>
      </c>
    </row>
    <row r="50" spans="1:8" x14ac:dyDescent="0.25">
      <c r="A50" s="6">
        <v>39</v>
      </c>
      <c r="B50" s="6" t="s">
        <v>3</v>
      </c>
      <c r="C50" s="6" t="s">
        <v>134</v>
      </c>
      <c r="D50" s="6">
        <v>2502960</v>
      </c>
      <c r="E50" s="7" t="s">
        <v>183</v>
      </c>
      <c r="F50" s="7" t="s">
        <v>239</v>
      </c>
      <c r="G50" s="8">
        <f t="shared" si="3"/>
        <v>38500</v>
      </c>
      <c r="H50" s="50">
        <v>35000</v>
      </c>
    </row>
    <row r="51" spans="1:8" ht="30" x14ac:dyDescent="0.25">
      <c r="A51" s="6">
        <v>59</v>
      </c>
      <c r="B51" s="6" t="s">
        <v>37</v>
      </c>
      <c r="C51" s="6" t="s">
        <v>111</v>
      </c>
      <c r="D51" s="6">
        <v>2503016</v>
      </c>
      <c r="E51" s="7" t="s">
        <v>181</v>
      </c>
      <c r="F51" s="7" t="s">
        <v>182</v>
      </c>
      <c r="G51" s="8">
        <f t="shared" si="3"/>
        <v>110000.00000000001</v>
      </c>
      <c r="H51" s="50">
        <v>100000</v>
      </c>
    </row>
    <row r="52" spans="1:8" ht="30" x14ac:dyDescent="0.25">
      <c r="A52" s="6">
        <v>39</v>
      </c>
      <c r="B52" s="6" t="s">
        <v>3</v>
      </c>
      <c r="C52" s="6" t="s">
        <v>134</v>
      </c>
      <c r="D52" s="6">
        <v>2503124</v>
      </c>
      <c r="E52" s="7" t="s">
        <v>187</v>
      </c>
      <c r="F52" s="7" t="s">
        <v>243</v>
      </c>
      <c r="G52" s="8">
        <f t="shared" si="3"/>
        <v>12100.000000000002</v>
      </c>
      <c r="H52" s="50">
        <v>11000</v>
      </c>
    </row>
    <row r="53" spans="1:8" ht="30" x14ac:dyDescent="0.25">
      <c r="A53" s="6">
        <v>19</v>
      </c>
      <c r="B53" s="6" t="s">
        <v>0</v>
      </c>
      <c r="C53" s="6" t="s">
        <v>116</v>
      </c>
      <c r="D53" s="6">
        <v>2503366</v>
      </c>
      <c r="E53" s="7" t="s">
        <v>215</v>
      </c>
      <c r="F53" s="7" t="s">
        <v>216</v>
      </c>
      <c r="G53" s="8">
        <f t="shared" si="3"/>
        <v>14850.000000000002</v>
      </c>
      <c r="H53" s="50">
        <v>13500</v>
      </c>
    </row>
    <row r="54" spans="1:8" ht="30" x14ac:dyDescent="0.25">
      <c r="A54" s="6">
        <v>49</v>
      </c>
      <c r="B54" s="6" t="s">
        <v>5</v>
      </c>
      <c r="C54" s="6" t="s">
        <v>134</v>
      </c>
      <c r="D54" s="6">
        <v>2503492</v>
      </c>
      <c r="E54" s="7" t="s">
        <v>162</v>
      </c>
      <c r="F54" s="7" t="s">
        <v>234</v>
      </c>
      <c r="G54" s="8">
        <f t="shared" si="3"/>
        <v>55000.000000000007</v>
      </c>
      <c r="H54" s="50">
        <v>50000</v>
      </c>
    </row>
    <row r="55" spans="1:8" x14ac:dyDescent="0.25">
      <c r="A55" s="6">
        <v>39</v>
      </c>
      <c r="B55" s="6" t="s">
        <v>3</v>
      </c>
      <c r="C55" s="6" t="s">
        <v>134</v>
      </c>
      <c r="D55" s="6">
        <v>2503529</v>
      </c>
      <c r="E55" s="7" t="s">
        <v>188</v>
      </c>
      <c r="F55" s="7" t="s">
        <v>244</v>
      </c>
      <c r="G55" s="8">
        <f t="shared" si="3"/>
        <v>16500</v>
      </c>
      <c r="H55" s="50">
        <v>15000</v>
      </c>
    </row>
    <row r="56" spans="1:8" x14ac:dyDescent="0.25">
      <c r="A56" s="6">
        <v>39</v>
      </c>
      <c r="B56" s="6" t="s">
        <v>3</v>
      </c>
      <c r="C56" s="6" t="s">
        <v>134</v>
      </c>
      <c r="D56" s="6">
        <v>2503721</v>
      </c>
      <c r="E56" s="7" t="s">
        <v>185</v>
      </c>
      <c r="F56" s="7" t="s">
        <v>241</v>
      </c>
      <c r="G56" s="8">
        <f t="shared" si="3"/>
        <v>11000</v>
      </c>
      <c r="H56" s="50">
        <v>10000</v>
      </c>
    </row>
    <row r="57" spans="1:8" ht="30" x14ac:dyDescent="0.25">
      <c r="A57" s="6">
        <v>79</v>
      </c>
      <c r="B57" s="6" t="s">
        <v>7</v>
      </c>
      <c r="C57" s="6" t="s">
        <v>82</v>
      </c>
      <c r="D57" s="6">
        <v>2503835</v>
      </c>
      <c r="E57" s="7" t="s">
        <v>192</v>
      </c>
      <c r="F57" s="7" t="s">
        <v>246</v>
      </c>
      <c r="G57" s="8">
        <v>18600</v>
      </c>
      <c r="H57" s="50">
        <v>16756.759999999998</v>
      </c>
    </row>
    <row r="58" spans="1:8" ht="30" x14ac:dyDescent="0.25">
      <c r="A58" s="6">
        <v>79</v>
      </c>
      <c r="B58" s="6" t="s">
        <v>7</v>
      </c>
      <c r="C58" s="6" t="s">
        <v>142</v>
      </c>
      <c r="D58" s="6">
        <v>2503914</v>
      </c>
      <c r="E58" s="7" t="s">
        <v>160</v>
      </c>
      <c r="F58" s="7" t="s">
        <v>161</v>
      </c>
      <c r="G58" s="8">
        <f t="shared" ref="G58:G64" si="4">H58*1.1</f>
        <v>11000</v>
      </c>
      <c r="H58" s="50">
        <v>10000</v>
      </c>
    </row>
    <row r="59" spans="1:8" x14ac:dyDescent="0.25">
      <c r="A59" s="6">
        <v>29</v>
      </c>
      <c r="B59" s="6" t="s">
        <v>1</v>
      </c>
      <c r="C59" s="6" t="s">
        <v>134</v>
      </c>
      <c r="D59" s="6">
        <v>2504085</v>
      </c>
      <c r="E59" s="7" t="s">
        <v>186</v>
      </c>
      <c r="F59" s="7" t="s">
        <v>242</v>
      </c>
      <c r="G59" s="8">
        <f t="shared" si="4"/>
        <v>33000</v>
      </c>
      <c r="H59" s="50">
        <v>30000</v>
      </c>
    </row>
    <row r="60" spans="1:8" ht="30" x14ac:dyDescent="0.25">
      <c r="A60" s="6">
        <v>39</v>
      </c>
      <c r="B60" s="6" t="s">
        <v>3</v>
      </c>
      <c r="C60" s="6" t="s">
        <v>134</v>
      </c>
      <c r="D60" s="6">
        <v>2504091</v>
      </c>
      <c r="E60" s="7" t="s">
        <v>184</v>
      </c>
      <c r="F60" s="7" t="s">
        <v>240</v>
      </c>
      <c r="G60" s="8">
        <f t="shared" si="4"/>
        <v>16500</v>
      </c>
      <c r="H60" s="50">
        <v>15000</v>
      </c>
    </row>
    <row r="61" spans="1:8" ht="45" x14ac:dyDescent="0.25">
      <c r="A61" s="6">
        <v>79</v>
      </c>
      <c r="B61" s="6" t="s">
        <v>7</v>
      </c>
      <c r="C61" s="6" t="s">
        <v>75</v>
      </c>
      <c r="D61" s="6">
        <v>2504487</v>
      </c>
      <c r="E61" s="7" t="s">
        <v>179</v>
      </c>
      <c r="F61" s="7" t="s">
        <v>180</v>
      </c>
      <c r="G61" s="8">
        <f t="shared" si="4"/>
        <v>11000</v>
      </c>
      <c r="H61" s="50">
        <v>10000</v>
      </c>
    </row>
    <row r="62" spans="1:8" ht="30" x14ac:dyDescent="0.25">
      <c r="A62" s="6">
        <v>39</v>
      </c>
      <c r="B62" s="6" t="s">
        <v>3</v>
      </c>
      <c r="C62" s="6" t="s">
        <v>134</v>
      </c>
      <c r="D62" s="6">
        <v>2504727</v>
      </c>
      <c r="E62" s="7" t="s">
        <v>189</v>
      </c>
      <c r="F62" s="7" t="s">
        <v>245</v>
      </c>
      <c r="G62" s="8">
        <f t="shared" si="4"/>
        <v>31350.000000000004</v>
      </c>
      <c r="H62" s="50">
        <v>28500</v>
      </c>
    </row>
    <row r="63" spans="1:8" ht="45" x14ac:dyDescent="0.25">
      <c r="A63" s="6">
        <v>59</v>
      </c>
      <c r="B63" s="6" t="s">
        <v>37</v>
      </c>
      <c r="C63" s="6" t="s">
        <v>111</v>
      </c>
      <c r="D63" s="6">
        <v>2404812</v>
      </c>
      <c r="E63" s="7" t="s">
        <v>250</v>
      </c>
      <c r="F63" s="7" t="s">
        <v>251</v>
      </c>
      <c r="G63" s="8">
        <f t="shared" si="4"/>
        <v>68200</v>
      </c>
      <c r="H63" s="50">
        <v>62000</v>
      </c>
    </row>
    <row r="64" spans="1:8" ht="30" x14ac:dyDescent="0.25">
      <c r="A64" s="6">
        <v>59</v>
      </c>
      <c r="B64" s="6" t="s">
        <v>37</v>
      </c>
      <c r="C64" s="6" t="s">
        <v>111</v>
      </c>
      <c r="D64" s="6">
        <v>2400620</v>
      </c>
      <c r="E64" s="7" t="s">
        <v>252</v>
      </c>
      <c r="F64" s="7" t="s">
        <v>253</v>
      </c>
      <c r="G64" s="8">
        <f t="shared" si="4"/>
        <v>49500.000000000007</v>
      </c>
      <c r="H64" s="51">
        <v>45000</v>
      </c>
    </row>
    <row r="65" spans="1:8" ht="30" x14ac:dyDescent="0.25">
      <c r="A65" s="6">
        <v>59</v>
      </c>
      <c r="B65" s="6" t="s">
        <v>37</v>
      </c>
      <c r="C65" s="6" t="s">
        <v>28</v>
      </c>
      <c r="D65" s="6">
        <v>2405331</v>
      </c>
      <c r="E65" s="7" t="s">
        <v>254</v>
      </c>
      <c r="F65" s="7" t="s">
        <v>255</v>
      </c>
      <c r="G65" s="8">
        <v>24000</v>
      </c>
      <c r="H65" s="51">
        <v>21621.62</v>
      </c>
    </row>
    <row r="66" spans="1:8" x14ac:dyDescent="0.25">
      <c r="G66" s="52">
        <f>SUM(G2:G65)</f>
        <v>2580310.8370000003</v>
      </c>
      <c r="H66" s="52">
        <f>SUM(H2:H65)</f>
        <v>2342543.0300000003</v>
      </c>
    </row>
  </sheetData>
  <autoFilter ref="A1:H66" xr:uid="{91345A01-1D60-4097-A929-8BB0793B7DAB}"/>
  <sortState xmlns:xlrd2="http://schemas.microsoft.com/office/spreadsheetml/2017/richdata2" ref="A2:H62">
    <sortCondition ref="D2:D62"/>
  </sortState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55C6B-2B93-4A7D-B535-C5F63579513E}">
  <dimension ref="A1:Q38"/>
  <sheetViews>
    <sheetView workbookViewId="0">
      <selection activeCell="J1" sqref="J1"/>
    </sheetView>
  </sheetViews>
  <sheetFormatPr defaultColWidth="66.42578125" defaultRowHeight="15" x14ac:dyDescent="0.25"/>
  <cols>
    <col min="1" max="1" width="14.7109375" style="1" bestFit="1" customWidth="1"/>
    <col min="2" max="2" width="18.42578125" style="2" customWidth="1"/>
    <col min="3" max="3" width="19" style="1" bestFit="1" customWidth="1"/>
    <col min="4" max="4" width="8" style="1" bestFit="1" customWidth="1"/>
    <col min="5" max="5" width="40.5703125" style="1" customWidth="1"/>
    <col min="6" max="6" width="66.42578125" style="1"/>
    <col min="7" max="7" width="10.7109375" style="3" bestFit="1" customWidth="1"/>
    <col min="8" max="8" width="12.7109375" style="35" bestFit="1" customWidth="1"/>
    <col min="9" max="9" width="8.5703125" style="37" customWidth="1"/>
    <col min="10" max="10" width="2.5703125" style="1" customWidth="1"/>
    <col min="11" max="11" width="18.28515625" style="1" customWidth="1"/>
    <col min="12" max="12" width="1.42578125" style="1" customWidth="1"/>
    <col min="13" max="13" width="9.85546875" style="1" bestFit="1" customWidth="1"/>
    <col min="14" max="14" width="1.28515625" style="1" customWidth="1"/>
    <col min="15" max="15" width="8.42578125" style="1" bestFit="1" customWidth="1"/>
    <col min="16" max="16" width="9.42578125" style="1" bestFit="1" customWidth="1"/>
    <col min="17" max="17" width="9" style="1" customWidth="1"/>
    <col min="18" max="16384" width="66.42578125" style="1"/>
  </cols>
  <sheetData>
    <row r="1" spans="1:17" ht="33" customHeight="1" x14ac:dyDescent="0.25">
      <c r="A1" s="4" t="s">
        <v>20</v>
      </c>
      <c r="B1" s="4" t="s">
        <v>26</v>
      </c>
      <c r="C1" s="4" t="s">
        <v>19</v>
      </c>
      <c r="D1" s="4" t="s">
        <v>15</v>
      </c>
      <c r="E1" s="4" t="s">
        <v>16</v>
      </c>
      <c r="F1" s="4" t="s">
        <v>27</v>
      </c>
      <c r="G1" s="5" t="s">
        <v>18</v>
      </c>
      <c r="H1" s="34" t="s">
        <v>17</v>
      </c>
      <c r="I1" s="34" t="s">
        <v>104</v>
      </c>
      <c r="K1" s="39" t="s">
        <v>8</v>
      </c>
      <c r="L1"/>
      <c r="M1" s="40" t="s">
        <v>103</v>
      </c>
      <c r="N1"/>
      <c r="O1" s="41" t="s">
        <v>104</v>
      </c>
      <c r="P1"/>
      <c r="Q1" s="48" t="s">
        <v>105</v>
      </c>
    </row>
    <row r="2" spans="1:17" ht="30" x14ac:dyDescent="0.25">
      <c r="A2" s="6">
        <v>90</v>
      </c>
      <c r="B2" s="6" t="s">
        <v>51</v>
      </c>
      <c r="C2" s="6" t="s">
        <v>52</v>
      </c>
      <c r="D2" s="6">
        <v>2500694</v>
      </c>
      <c r="E2" s="7" t="s">
        <v>53</v>
      </c>
      <c r="F2" s="7" t="s">
        <v>106</v>
      </c>
      <c r="G2" s="8">
        <f>I2*330</f>
        <v>30360</v>
      </c>
      <c r="H2" s="36">
        <f t="shared" ref="H2:H37" si="0">G2/1.11</f>
        <v>27351.35135135135</v>
      </c>
      <c r="I2" s="38">
        <v>92</v>
      </c>
      <c r="K2" s="47" t="s">
        <v>9</v>
      </c>
      <c r="L2"/>
      <c r="M2" s="40">
        <v>800000</v>
      </c>
      <c r="N2"/>
      <c r="O2" s="42">
        <f>M2/10</f>
        <v>80000</v>
      </c>
      <c r="P2" s="1" t="s">
        <v>39</v>
      </c>
      <c r="Q2" s="1">
        <v>10</v>
      </c>
    </row>
    <row r="3" spans="1:17" ht="45" x14ac:dyDescent="0.25">
      <c r="A3" s="6">
        <v>90</v>
      </c>
      <c r="B3" s="6" t="s">
        <v>51</v>
      </c>
      <c r="C3" s="6" t="s">
        <v>52</v>
      </c>
      <c r="D3" s="6">
        <v>2500784</v>
      </c>
      <c r="E3" s="7" t="s">
        <v>54</v>
      </c>
      <c r="F3" s="7" t="s">
        <v>107</v>
      </c>
      <c r="G3" s="8">
        <f>I3*330</f>
        <v>32670</v>
      </c>
      <c r="H3" s="36">
        <f t="shared" si="0"/>
        <v>29432.43243243243</v>
      </c>
      <c r="I3" s="38">
        <v>99</v>
      </c>
      <c r="K3" s="47" t="s">
        <v>10</v>
      </c>
      <c r="L3"/>
      <c r="M3" s="40">
        <v>12000</v>
      </c>
      <c r="N3"/>
      <c r="O3" s="42">
        <f>M3/30</f>
        <v>400</v>
      </c>
      <c r="P3" s="1" t="s">
        <v>43</v>
      </c>
      <c r="Q3" s="1">
        <v>30</v>
      </c>
    </row>
    <row r="4" spans="1:17" ht="30" x14ac:dyDescent="0.25">
      <c r="A4" s="6">
        <v>90</v>
      </c>
      <c r="B4" s="6" t="s">
        <v>39</v>
      </c>
      <c r="C4" s="6" t="s">
        <v>40</v>
      </c>
      <c r="D4" s="6">
        <v>2500081</v>
      </c>
      <c r="E4" s="7" t="s">
        <v>41</v>
      </c>
      <c r="F4" s="7" t="s">
        <v>42</v>
      </c>
      <c r="G4" s="8">
        <f t="shared" ref="G4:G25" si="1">I4*10</f>
        <v>25000</v>
      </c>
      <c r="H4" s="36">
        <f t="shared" si="0"/>
        <v>22522.522522522522</v>
      </c>
      <c r="I4" s="38">
        <v>2500</v>
      </c>
      <c r="K4" s="47" t="s">
        <v>11</v>
      </c>
      <c r="L4"/>
      <c r="M4" s="40">
        <v>36000</v>
      </c>
      <c r="N4"/>
      <c r="O4" s="42">
        <f>M4/90</f>
        <v>400</v>
      </c>
      <c r="P4" s="1" t="s">
        <v>44</v>
      </c>
      <c r="Q4" s="1">
        <v>90</v>
      </c>
    </row>
    <row r="5" spans="1:17" ht="30" x14ac:dyDescent="0.25">
      <c r="A5" s="6">
        <v>90</v>
      </c>
      <c r="B5" s="6" t="s">
        <v>39</v>
      </c>
      <c r="C5" s="6" t="s">
        <v>45</v>
      </c>
      <c r="D5" s="6">
        <v>2500205</v>
      </c>
      <c r="E5" s="7" t="s">
        <v>46</v>
      </c>
      <c r="F5" s="7" t="s">
        <v>47</v>
      </c>
      <c r="G5" s="8">
        <f t="shared" si="1"/>
        <v>23000</v>
      </c>
      <c r="H5" s="36">
        <f t="shared" si="0"/>
        <v>20720.720720720718</v>
      </c>
      <c r="I5" s="38">
        <v>2300</v>
      </c>
      <c r="K5" s="47" t="s">
        <v>12</v>
      </c>
      <c r="L5"/>
      <c r="M5" s="40">
        <v>60000</v>
      </c>
      <c r="N5"/>
      <c r="O5" s="46">
        <f>M5/330</f>
        <v>181.81818181818181</v>
      </c>
      <c r="P5" s="1" t="s">
        <v>51</v>
      </c>
      <c r="Q5" s="1">
        <v>330</v>
      </c>
    </row>
    <row r="6" spans="1:17" ht="30" x14ac:dyDescent="0.25">
      <c r="A6" s="6">
        <v>90</v>
      </c>
      <c r="B6" s="6" t="s">
        <v>39</v>
      </c>
      <c r="C6" s="6" t="s">
        <v>48</v>
      </c>
      <c r="D6" s="6">
        <v>2500656</v>
      </c>
      <c r="E6" s="7" t="s">
        <v>49</v>
      </c>
      <c r="F6" s="7" t="s">
        <v>50</v>
      </c>
      <c r="G6" s="8">
        <f t="shared" si="1"/>
        <v>27200</v>
      </c>
      <c r="H6" s="36">
        <f t="shared" si="0"/>
        <v>24504.504504504501</v>
      </c>
      <c r="I6" s="38">
        <v>2720</v>
      </c>
      <c r="K6" s="43" t="s">
        <v>13</v>
      </c>
      <c r="L6" s="44"/>
      <c r="M6" s="45">
        <f>SUM(M2:M5)</f>
        <v>908000</v>
      </c>
      <c r="N6"/>
      <c r="O6"/>
      <c r="P6"/>
      <c r="Q6"/>
    </row>
    <row r="7" spans="1:17" ht="30" x14ac:dyDescent="0.25">
      <c r="A7" s="6">
        <v>90</v>
      </c>
      <c r="B7" s="6" t="s">
        <v>39</v>
      </c>
      <c r="C7" s="6" t="s">
        <v>55</v>
      </c>
      <c r="D7" s="6">
        <v>2501074</v>
      </c>
      <c r="E7" s="7" t="s">
        <v>56</v>
      </c>
      <c r="F7" s="7" t="s">
        <v>57</v>
      </c>
      <c r="G7" s="8">
        <f t="shared" si="1"/>
        <v>25000</v>
      </c>
      <c r="H7" s="36">
        <f t="shared" si="0"/>
        <v>22522.522522522522</v>
      </c>
      <c r="I7" s="38">
        <v>2500</v>
      </c>
    </row>
    <row r="8" spans="1:17" ht="30" x14ac:dyDescent="0.25">
      <c r="A8" s="6">
        <v>90</v>
      </c>
      <c r="B8" s="6" t="s">
        <v>39</v>
      </c>
      <c r="C8" s="6" t="s">
        <v>58</v>
      </c>
      <c r="D8" s="6">
        <v>2501108</v>
      </c>
      <c r="E8" s="7" t="s">
        <v>59</v>
      </c>
      <c r="F8" s="7" t="s">
        <v>60</v>
      </c>
      <c r="G8" s="8">
        <f t="shared" si="1"/>
        <v>29250</v>
      </c>
      <c r="H8" s="36">
        <f t="shared" si="0"/>
        <v>26351.35135135135</v>
      </c>
      <c r="I8" s="38">
        <v>2925</v>
      </c>
    </row>
    <row r="9" spans="1:17" x14ac:dyDescent="0.25">
      <c r="A9" s="6">
        <v>90</v>
      </c>
      <c r="B9" s="6" t="s">
        <v>39</v>
      </c>
      <c r="C9" s="6" t="s">
        <v>61</v>
      </c>
      <c r="D9" s="6">
        <v>2501127</v>
      </c>
      <c r="E9" s="7" t="s">
        <v>62</v>
      </c>
      <c r="F9" s="7" t="s">
        <v>63</v>
      </c>
      <c r="G9" s="8">
        <f t="shared" si="1"/>
        <v>47000</v>
      </c>
      <c r="H9" s="36">
        <f t="shared" si="0"/>
        <v>42342.342342342337</v>
      </c>
      <c r="I9" s="38">
        <v>4700</v>
      </c>
    </row>
    <row r="10" spans="1:17" ht="30" x14ac:dyDescent="0.25">
      <c r="A10" s="6">
        <v>90</v>
      </c>
      <c r="B10" s="6" t="s">
        <v>39</v>
      </c>
      <c r="C10" s="6" t="s">
        <v>64</v>
      </c>
      <c r="D10" s="6">
        <v>2501628</v>
      </c>
      <c r="E10" s="7" t="s">
        <v>65</v>
      </c>
      <c r="F10" s="7" t="s">
        <v>66</v>
      </c>
      <c r="G10" s="8">
        <f t="shared" si="1"/>
        <v>50000</v>
      </c>
      <c r="H10" s="36">
        <f t="shared" si="0"/>
        <v>45045.045045045044</v>
      </c>
      <c r="I10" s="38">
        <v>5000</v>
      </c>
    </row>
    <row r="11" spans="1:17" ht="30" x14ac:dyDescent="0.25">
      <c r="A11" s="6">
        <v>90</v>
      </c>
      <c r="B11" s="6" t="s">
        <v>39</v>
      </c>
      <c r="C11" s="6" t="s">
        <v>67</v>
      </c>
      <c r="D11" s="6">
        <v>2501859</v>
      </c>
      <c r="E11" s="7" t="s">
        <v>68</v>
      </c>
      <c r="F11" s="7" t="s">
        <v>69</v>
      </c>
      <c r="G11" s="8">
        <f t="shared" si="1"/>
        <v>27720</v>
      </c>
      <c r="H11" s="36">
        <f t="shared" si="0"/>
        <v>24972.97297297297</v>
      </c>
      <c r="I11" s="38">
        <v>2772</v>
      </c>
    </row>
    <row r="12" spans="1:17" x14ac:dyDescent="0.25">
      <c r="A12" s="6">
        <v>90</v>
      </c>
      <c r="B12" s="6" t="s">
        <v>39</v>
      </c>
      <c r="C12" s="6" t="s">
        <v>64</v>
      </c>
      <c r="D12" s="6">
        <v>2501866</v>
      </c>
      <c r="E12" s="7" t="s">
        <v>70</v>
      </c>
      <c r="F12" s="7" t="s">
        <v>71</v>
      </c>
      <c r="G12" s="8">
        <f t="shared" si="1"/>
        <v>45000</v>
      </c>
      <c r="H12" s="36">
        <f t="shared" si="0"/>
        <v>40540.54054054054</v>
      </c>
      <c r="I12" s="38">
        <v>4500</v>
      </c>
    </row>
    <row r="13" spans="1:17" ht="30" x14ac:dyDescent="0.25">
      <c r="A13" s="6">
        <v>90</v>
      </c>
      <c r="B13" s="6" t="s">
        <v>39</v>
      </c>
      <c r="C13" s="6" t="s">
        <v>72</v>
      </c>
      <c r="D13" s="6">
        <v>2502361</v>
      </c>
      <c r="E13" s="7" t="s">
        <v>73</v>
      </c>
      <c r="F13" s="7" t="s">
        <v>74</v>
      </c>
      <c r="G13" s="8">
        <f t="shared" si="1"/>
        <v>31200</v>
      </c>
      <c r="H13" s="36">
        <f t="shared" si="0"/>
        <v>28108.108108108107</v>
      </c>
      <c r="I13" s="38">
        <v>3120</v>
      </c>
    </row>
    <row r="14" spans="1:17" ht="30" x14ac:dyDescent="0.25">
      <c r="A14" s="6">
        <v>90</v>
      </c>
      <c r="B14" s="6" t="s">
        <v>39</v>
      </c>
      <c r="C14" s="6" t="s">
        <v>75</v>
      </c>
      <c r="D14" s="6">
        <v>2502581</v>
      </c>
      <c r="E14" s="7" t="s">
        <v>76</v>
      </c>
      <c r="F14" s="7" t="s">
        <v>77</v>
      </c>
      <c r="G14" s="8">
        <f t="shared" si="1"/>
        <v>50000</v>
      </c>
      <c r="H14" s="36">
        <f t="shared" si="0"/>
        <v>45045.045045045044</v>
      </c>
      <c r="I14" s="38">
        <v>5000</v>
      </c>
    </row>
    <row r="15" spans="1:17" x14ac:dyDescent="0.25">
      <c r="A15" s="6">
        <v>90</v>
      </c>
      <c r="B15" s="6" t="s">
        <v>39</v>
      </c>
      <c r="C15" s="6" t="s">
        <v>78</v>
      </c>
      <c r="D15" s="6">
        <v>2502926</v>
      </c>
      <c r="E15" s="7" t="s">
        <v>79</v>
      </c>
      <c r="F15" s="7" t="s">
        <v>108</v>
      </c>
      <c r="G15" s="8">
        <f t="shared" si="1"/>
        <v>30940</v>
      </c>
      <c r="H15" s="36">
        <f t="shared" si="0"/>
        <v>27873.873873873872</v>
      </c>
      <c r="I15" s="38">
        <v>3094</v>
      </c>
    </row>
    <row r="16" spans="1:17" ht="30" x14ac:dyDescent="0.25">
      <c r="A16" s="6">
        <v>90</v>
      </c>
      <c r="B16" s="6" t="s">
        <v>39</v>
      </c>
      <c r="C16" s="6" t="s">
        <v>75</v>
      </c>
      <c r="D16" s="6">
        <v>2503203</v>
      </c>
      <c r="E16" s="7" t="s">
        <v>80</v>
      </c>
      <c r="F16" s="7" t="s">
        <v>81</v>
      </c>
      <c r="G16" s="8">
        <f t="shared" si="1"/>
        <v>33500</v>
      </c>
      <c r="H16" s="36">
        <f t="shared" si="0"/>
        <v>30180.180180180178</v>
      </c>
      <c r="I16" s="38">
        <v>3350</v>
      </c>
    </row>
    <row r="17" spans="1:9" ht="30" x14ac:dyDescent="0.25">
      <c r="A17" s="6">
        <v>90</v>
      </c>
      <c r="B17" s="6" t="s">
        <v>39</v>
      </c>
      <c r="C17" s="6" t="s">
        <v>82</v>
      </c>
      <c r="D17" s="6">
        <v>2503215</v>
      </c>
      <c r="E17" s="7" t="s">
        <v>83</v>
      </c>
      <c r="F17" s="7" t="s">
        <v>109</v>
      </c>
      <c r="G17" s="8">
        <f t="shared" si="1"/>
        <v>29250</v>
      </c>
      <c r="H17" s="36">
        <f t="shared" si="0"/>
        <v>26351.35135135135</v>
      </c>
      <c r="I17" s="38">
        <v>2925</v>
      </c>
    </row>
    <row r="18" spans="1:9" x14ac:dyDescent="0.25">
      <c r="A18" s="6">
        <v>90</v>
      </c>
      <c r="B18" s="6" t="s">
        <v>39</v>
      </c>
      <c r="C18" s="6" t="s">
        <v>75</v>
      </c>
      <c r="D18" s="6">
        <v>2503281</v>
      </c>
      <c r="E18" s="7" t="s">
        <v>84</v>
      </c>
      <c r="F18" s="7" t="s">
        <v>85</v>
      </c>
      <c r="G18" s="8">
        <f t="shared" si="1"/>
        <v>30000</v>
      </c>
      <c r="H18" s="36">
        <f t="shared" si="0"/>
        <v>27027.027027027023</v>
      </c>
      <c r="I18" s="38">
        <v>3000</v>
      </c>
    </row>
    <row r="19" spans="1:9" ht="30" x14ac:dyDescent="0.25">
      <c r="A19" s="6">
        <v>90</v>
      </c>
      <c r="B19" s="6" t="s">
        <v>39</v>
      </c>
      <c r="C19" s="6" t="s">
        <v>75</v>
      </c>
      <c r="D19" s="6">
        <v>2503306</v>
      </c>
      <c r="E19" s="7" t="s">
        <v>86</v>
      </c>
      <c r="F19" s="7" t="s">
        <v>87</v>
      </c>
      <c r="G19" s="8">
        <f t="shared" si="1"/>
        <v>35000</v>
      </c>
      <c r="H19" s="36">
        <f t="shared" si="0"/>
        <v>31531.531531531527</v>
      </c>
      <c r="I19" s="38">
        <v>3500</v>
      </c>
    </row>
    <row r="20" spans="1:9" x14ac:dyDescent="0.25">
      <c r="A20" s="6">
        <v>90</v>
      </c>
      <c r="B20" s="6" t="s">
        <v>39</v>
      </c>
      <c r="C20" s="6" t="s">
        <v>88</v>
      </c>
      <c r="D20" s="6">
        <v>2503359</v>
      </c>
      <c r="E20" s="7" t="s">
        <v>89</v>
      </c>
      <c r="F20" s="7" t="s">
        <v>110</v>
      </c>
      <c r="G20" s="8">
        <f t="shared" si="1"/>
        <v>42000</v>
      </c>
      <c r="H20" s="36">
        <f t="shared" si="0"/>
        <v>37837.837837837833</v>
      </c>
      <c r="I20" s="38">
        <v>4200</v>
      </c>
    </row>
    <row r="21" spans="1:9" ht="30" x14ac:dyDescent="0.25">
      <c r="A21" s="6">
        <v>90</v>
      </c>
      <c r="B21" s="6" t="s">
        <v>39</v>
      </c>
      <c r="C21" s="6" t="s">
        <v>90</v>
      </c>
      <c r="D21" s="6">
        <v>2503426</v>
      </c>
      <c r="E21" s="7" t="s">
        <v>91</v>
      </c>
      <c r="F21" s="7" t="s">
        <v>92</v>
      </c>
      <c r="G21" s="8">
        <f t="shared" si="1"/>
        <v>39000</v>
      </c>
      <c r="H21" s="36">
        <f t="shared" si="0"/>
        <v>35135.135135135133</v>
      </c>
      <c r="I21" s="38">
        <v>3900</v>
      </c>
    </row>
    <row r="22" spans="1:9" x14ac:dyDescent="0.25">
      <c r="A22" s="6">
        <v>90</v>
      </c>
      <c r="B22" s="6" t="s">
        <v>39</v>
      </c>
      <c r="C22" s="6" t="s">
        <v>64</v>
      </c>
      <c r="D22" s="6">
        <v>2503765</v>
      </c>
      <c r="E22" s="7" t="s">
        <v>93</v>
      </c>
      <c r="F22" s="7" t="s">
        <v>94</v>
      </c>
      <c r="G22" s="8">
        <f t="shared" si="1"/>
        <v>50000</v>
      </c>
      <c r="H22" s="36">
        <f t="shared" si="0"/>
        <v>45045.045045045044</v>
      </c>
      <c r="I22" s="38">
        <v>5000</v>
      </c>
    </row>
    <row r="23" spans="1:9" ht="30" x14ac:dyDescent="0.25">
      <c r="A23" s="6">
        <v>90</v>
      </c>
      <c r="B23" s="6" t="s">
        <v>39</v>
      </c>
      <c r="C23" s="6" t="s">
        <v>64</v>
      </c>
      <c r="D23" s="6">
        <v>2504103</v>
      </c>
      <c r="E23" s="7" t="s">
        <v>95</v>
      </c>
      <c r="F23" s="7" t="s">
        <v>96</v>
      </c>
      <c r="G23" s="8">
        <f t="shared" si="1"/>
        <v>50000</v>
      </c>
      <c r="H23" s="36">
        <f t="shared" si="0"/>
        <v>45045.045045045044</v>
      </c>
      <c r="I23" s="38">
        <v>5000</v>
      </c>
    </row>
    <row r="24" spans="1:9" ht="30" x14ac:dyDescent="0.25">
      <c r="A24" s="6">
        <v>90</v>
      </c>
      <c r="B24" s="6" t="s">
        <v>39</v>
      </c>
      <c r="C24" s="6" t="s">
        <v>97</v>
      </c>
      <c r="D24" s="6">
        <v>2504182</v>
      </c>
      <c r="E24" s="7" t="s">
        <v>98</v>
      </c>
      <c r="F24" s="7" t="s">
        <v>99</v>
      </c>
      <c r="G24" s="8">
        <f t="shared" si="1"/>
        <v>35040</v>
      </c>
      <c r="H24" s="36">
        <f t="shared" si="0"/>
        <v>31567.567567567567</v>
      </c>
      <c r="I24" s="38">
        <v>3504</v>
      </c>
    </row>
    <row r="25" spans="1:9" ht="45" x14ac:dyDescent="0.25">
      <c r="A25" s="6">
        <v>90</v>
      </c>
      <c r="B25" s="6" t="s">
        <v>39</v>
      </c>
      <c r="C25" s="6" t="s">
        <v>100</v>
      </c>
      <c r="D25" s="6">
        <v>2504384</v>
      </c>
      <c r="E25" s="7" t="s">
        <v>101</v>
      </c>
      <c r="F25" s="7" t="s">
        <v>102</v>
      </c>
      <c r="G25" s="8">
        <f t="shared" si="1"/>
        <v>50000</v>
      </c>
      <c r="H25" s="36">
        <f t="shared" si="0"/>
        <v>45045.045045045044</v>
      </c>
      <c r="I25" s="38">
        <v>5000</v>
      </c>
    </row>
    <row r="26" spans="1:9" ht="30" x14ac:dyDescent="0.25">
      <c r="A26" s="6">
        <v>90</v>
      </c>
      <c r="B26" s="6" t="s">
        <v>44</v>
      </c>
      <c r="C26" s="6" t="s">
        <v>40</v>
      </c>
      <c r="D26" s="6">
        <v>2500081</v>
      </c>
      <c r="E26" s="7" t="s">
        <v>41</v>
      </c>
      <c r="F26" s="7" t="s">
        <v>42</v>
      </c>
      <c r="G26" s="8">
        <f t="shared" ref="G26:G32" si="2">I26*90</f>
        <v>9000</v>
      </c>
      <c r="H26" s="36">
        <f t="shared" si="0"/>
        <v>8108.1081081081074</v>
      </c>
      <c r="I26" s="38">
        <v>100</v>
      </c>
    </row>
    <row r="27" spans="1:9" ht="30" x14ac:dyDescent="0.25">
      <c r="A27" s="6">
        <v>90</v>
      </c>
      <c r="B27" s="6" t="s">
        <v>44</v>
      </c>
      <c r="C27" s="6" t="s">
        <v>45</v>
      </c>
      <c r="D27" s="6">
        <v>2500205</v>
      </c>
      <c r="E27" s="7" t="s">
        <v>46</v>
      </c>
      <c r="F27" s="7" t="s">
        <v>47</v>
      </c>
      <c r="G27" s="8">
        <f t="shared" si="2"/>
        <v>7200</v>
      </c>
      <c r="H27" s="36">
        <f t="shared" si="0"/>
        <v>6486.4864864864858</v>
      </c>
      <c r="I27" s="38">
        <v>80</v>
      </c>
    </row>
    <row r="28" spans="1:9" ht="30" x14ac:dyDescent="0.25">
      <c r="A28" s="6">
        <v>90</v>
      </c>
      <c r="B28" s="6" t="s">
        <v>44</v>
      </c>
      <c r="C28" s="6" t="s">
        <v>48</v>
      </c>
      <c r="D28" s="6">
        <v>2500656</v>
      </c>
      <c r="E28" s="7" t="s">
        <v>49</v>
      </c>
      <c r="F28" s="7" t="s">
        <v>50</v>
      </c>
      <c r="G28" s="8">
        <f t="shared" si="2"/>
        <v>3060</v>
      </c>
      <c r="H28" s="36">
        <f t="shared" si="0"/>
        <v>2756.7567567567567</v>
      </c>
      <c r="I28" s="38">
        <v>34</v>
      </c>
    </row>
    <row r="29" spans="1:9" ht="30" x14ac:dyDescent="0.25">
      <c r="A29" s="6">
        <v>90</v>
      </c>
      <c r="B29" s="6" t="s">
        <v>44</v>
      </c>
      <c r="C29" s="6" t="s">
        <v>55</v>
      </c>
      <c r="D29" s="6">
        <v>2501074</v>
      </c>
      <c r="E29" s="7" t="s">
        <v>56</v>
      </c>
      <c r="F29" s="7" t="s">
        <v>57</v>
      </c>
      <c r="G29" s="8">
        <f t="shared" si="2"/>
        <v>3600</v>
      </c>
      <c r="H29" s="36">
        <f t="shared" si="0"/>
        <v>3243.2432432432429</v>
      </c>
      <c r="I29" s="38">
        <v>40</v>
      </c>
    </row>
    <row r="30" spans="1:9" ht="30" x14ac:dyDescent="0.25">
      <c r="A30" s="6">
        <v>90</v>
      </c>
      <c r="B30" s="6" t="s">
        <v>44</v>
      </c>
      <c r="C30" s="6" t="s">
        <v>67</v>
      </c>
      <c r="D30" s="6">
        <v>2501859</v>
      </c>
      <c r="E30" s="7" t="s">
        <v>68</v>
      </c>
      <c r="F30" s="7" t="s">
        <v>69</v>
      </c>
      <c r="G30" s="8">
        <f t="shared" si="2"/>
        <v>5400</v>
      </c>
      <c r="H30" s="36">
        <f t="shared" si="0"/>
        <v>4864.8648648648641</v>
      </c>
      <c r="I30" s="38">
        <v>60</v>
      </c>
    </row>
    <row r="31" spans="1:9" x14ac:dyDescent="0.25">
      <c r="A31" s="6">
        <v>90</v>
      </c>
      <c r="B31" s="6" t="s">
        <v>44</v>
      </c>
      <c r="C31" s="6" t="s">
        <v>78</v>
      </c>
      <c r="D31" s="6">
        <v>2502926</v>
      </c>
      <c r="E31" s="7" t="s">
        <v>79</v>
      </c>
      <c r="F31" s="7" t="s">
        <v>108</v>
      </c>
      <c r="G31" s="8">
        <f t="shared" si="2"/>
        <v>5400</v>
      </c>
      <c r="H31" s="36">
        <f t="shared" si="0"/>
        <v>4864.8648648648641</v>
      </c>
      <c r="I31" s="38">
        <v>60</v>
      </c>
    </row>
    <row r="32" spans="1:9" ht="30" x14ac:dyDescent="0.25">
      <c r="A32" s="6">
        <v>90</v>
      </c>
      <c r="B32" s="6" t="s">
        <v>44</v>
      </c>
      <c r="C32" s="6" t="s">
        <v>97</v>
      </c>
      <c r="D32" s="6">
        <v>2504182</v>
      </c>
      <c r="E32" s="7" t="s">
        <v>98</v>
      </c>
      <c r="F32" s="7" t="s">
        <v>99</v>
      </c>
      <c r="G32" s="8">
        <f t="shared" si="2"/>
        <v>5130</v>
      </c>
      <c r="H32" s="36">
        <f t="shared" si="0"/>
        <v>4621.6216216216208</v>
      </c>
      <c r="I32" s="38">
        <v>57</v>
      </c>
    </row>
    <row r="33" spans="1:9" ht="30" x14ac:dyDescent="0.25">
      <c r="A33" s="6">
        <v>90</v>
      </c>
      <c r="B33" s="6" t="s">
        <v>43</v>
      </c>
      <c r="C33" s="6" t="s">
        <v>40</v>
      </c>
      <c r="D33" s="6">
        <v>2500081</v>
      </c>
      <c r="E33" s="7" t="s">
        <v>41</v>
      </c>
      <c r="F33" s="7" t="s">
        <v>42</v>
      </c>
      <c r="G33" s="8">
        <f>I33*30</f>
        <v>3000</v>
      </c>
      <c r="H33" s="36">
        <f t="shared" si="0"/>
        <v>2702.7027027027025</v>
      </c>
      <c r="I33" s="38">
        <v>100</v>
      </c>
    </row>
    <row r="34" spans="1:9" ht="30" x14ac:dyDescent="0.25">
      <c r="A34" s="6">
        <v>90</v>
      </c>
      <c r="B34" s="6" t="s">
        <v>43</v>
      </c>
      <c r="C34" s="6" t="s">
        <v>58</v>
      </c>
      <c r="D34" s="6">
        <v>2501108</v>
      </c>
      <c r="E34" s="7" t="s">
        <v>59</v>
      </c>
      <c r="F34" s="7" t="s">
        <v>60</v>
      </c>
      <c r="G34" s="8">
        <f>I34*30</f>
        <v>1950</v>
      </c>
      <c r="H34" s="36">
        <f t="shared" si="0"/>
        <v>1756.7567567567567</v>
      </c>
      <c r="I34" s="38">
        <v>65</v>
      </c>
    </row>
    <row r="35" spans="1:9" ht="30" x14ac:dyDescent="0.25">
      <c r="A35" s="6">
        <v>90</v>
      </c>
      <c r="B35" s="6" t="s">
        <v>43</v>
      </c>
      <c r="C35" s="6" t="s">
        <v>67</v>
      </c>
      <c r="D35" s="6">
        <v>2501859</v>
      </c>
      <c r="E35" s="7" t="s">
        <v>68</v>
      </c>
      <c r="F35" s="7" t="s">
        <v>69</v>
      </c>
      <c r="G35" s="8">
        <f>I35*30</f>
        <v>3780</v>
      </c>
      <c r="H35" s="36">
        <f t="shared" si="0"/>
        <v>3405.405405405405</v>
      </c>
      <c r="I35" s="38">
        <v>126</v>
      </c>
    </row>
    <row r="36" spans="1:9" ht="30" x14ac:dyDescent="0.25">
      <c r="A36" s="6">
        <v>90</v>
      </c>
      <c r="B36" s="6" t="s">
        <v>43</v>
      </c>
      <c r="C36" s="6" t="s">
        <v>82</v>
      </c>
      <c r="D36" s="6">
        <v>2503215</v>
      </c>
      <c r="E36" s="7" t="s">
        <v>83</v>
      </c>
      <c r="F36" s="7" t="s">
        <v>109</v>
      </c>
      <c r="G36" s="8">
        <f>I36*30</f>
        <v>1680</v>
      </c>
      <c r="H36" s="36">
        <f t="shared" si="0"/>
        <v>1513.5135135135133</v>
      </c>
      <c r="I36" s="38">
        <v>56</v>
      </c>
    </row>
    <row r="37" spans="1:9" ht="30" x14ac:dyDescent="0.25">
      <c r="A37" s="6">
        <v>90</v>
      </c>
      <c r="B37" s="6" t="s">
        <v>43</v>
      </c>
      <c r="C37" s="6" t="s">
        <v>97</v>
      </c>
      <c r="D37" s="6">
        <v>2504182</v>
      </c>
      <c r="E37" s="7" t="s">
        <v>98</v>
      </c>
      <c r="F37" s="7" t="s">
        <v>99</v>
      </c>
      <c r="G37" s="8">
        <f>I37*30</f>
        <v>2640</v>
      </c>
      <c r="H37" s="36">
        <f t="shared" si="0"/>
        <v>2378.3783783783783</v>
      </c>
      <c r="I37" s="38">
        <v>88</v>
      </c>
    </row>
    <row r="38" spans="1:9" x14ac:dyDescent="0.25">
      <c r="A38" s="6"/>
      <c r="B38" s="6"/>
      <c r="C38" s="6"/>
      <c r="D38" s="6"/>
      <c r="E38" s="7"/>
      <c r="F38" s="7"/>
      <c r="G38" s="53">
        <f>SUM(G2:G37)</f>
        <v>919970</v>
      </c>
      <c r="H38" s="54">
        <f>SUM(H2:H37)</f>
        <v>828801.80180180201</v>
      </c>
      <c r="I38" s="38"/>
    </row>
  </sheetData>
  <autoFilter ref="A1:I38" xr:uid="{41955C6B-2B93-4A7D-B535-C5F63579513E}"/>
  <sortState xmlns:xlrd2="http://schemas.microsoft.com/office/spreadsheetml/2017/richdata2" ref="A2:I37">
    <sortCondition ref="B2:B37"/>
    <sortCondition ref="D2:D3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Detail1</vt:lpstr>
      <vt:lpstr>ACNUSA Project Request</vt:lpstr>
      <vt:lpstr>Construction</vt:lpstr>
      <vt:lpstr>Transportation</vt:lpstr>
      <vt:lpstr>Subsistance</vt:lpstr>
      <vt:lpstr>Pastoral</vt:lpstr>
      <vt:lpstr>Humanitarian</vt:lpstr>
      <vt:lpstr>Project Presentation Template</vt:lpstr>
      <vt:lpstr>Proposal Königstein - Projects</vt:lpstr>
      <vt:lpstr>Proposal Königstein - Masses</vt:lpstr>
      <vt:lpstr>'Project Presentation Template'!Print_Area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Katia Ramos</dc:creator>
  <cp:lastModifiedBy>Carlos Gorricho</cp:lastModifiedBy>
  <cp:lastPrinted>2023-12-15T00:22:04Z</cp:lastPrinted>
  <dcterms:created xsi:type="dcterms:W3CDTF">2023-12-07T17:17:21Z</dcterms:created>
  <dcterms:modified xsi:type="dcterms:W3CDTF">2025-08-12T18:51:00Z</dcterms:modified>
</cp:coreProperties>
</file>